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prbg\Downloads\"/>
    </mc:Choice>
  </mc:AlternateContent>
  <xr:revisionPtr revIDLastSave="0" documentId="13_ncr:1_{6EBF56F8-3D0D-48C4-83FD-9476E4BA51CD}" xr6:coauthVersionLast="47" xr6:coauthVersionMax="47" xr10:uidLastSave="{00000000-0000-0000-0000-000000000000}"/>
  <bookViews>
    <workbookView xWindow="-120" yWindow="-120" windowWidth="29040" windowHeight="15720" tabRatio="721" xr2:uid="{00000000-000D-0000-FFFF-FFFF00000000}"/>
  </bookViews>
  <sheets>
    <sheet name="Portada" sheetId="1" r:id="rId1"/>
    <sheet name="1. Niveles" sheetId="2" r:id="rId2"/>
    <sheet name="2. Datos Generales" sheetId="3" r:id="rId3"/>
    <sheet name="3. Metodología" sheetId="4" r:id="rId4"/>
    <sheet name="4. Catálogo Peligros" sheetId="5" r:id="rId5"/>
    <sheet name="5. Matriz IPERC" sheetId="6" r:id="rId6"/>
    <sheet name="6. Motor Normativo" sheetId="7" r:id="rId7"/>
    <sheet name="7. Plan de Acción" sheetId="8" r:id="rId8"/>
    <sheet name="8. Mapa de Riesgos" sheetId="9" r:id="rId9"/>
    <sheet name="9. Dashboard" sheetId="10" r:id="rId10"/>
  </sheets>
  <definedNames>
    <definedName name="_xlnm.Print_Area" localSheetId="1">'1. Niveles'!$A$1:$F$27</definedName>
    <definedName name="_xlnm.Print_Area" localSheetId="2">'2. Datos Generales'!$A$1:$E$20</definedName>
    <definedName name="_xlnm.Print_Area" localSheetId="3">'3. Metodología'!$A$1:$G$25</definedName>
    <definedName name="_xlnm.Print_Area" localSheetId="4">'4. Catálogo Peligros'!$A$1:$L$37</definedName>
    <definedName name="_xlnm.Print_Area" localSheetId="5">'5. Matriz IPERC'!$A$1:$AL$51</definedName>
    <definedName name="_xlnm.Print_Area" localSheetId="6">'6. Motor Normativo'!$A$1:$J$24</definedName>
    <definedName name="_xlnm.Print_Area" localSheetId="7">'7. Plan de Acción'!$A$1:$I$50</definedName>
    <definedName name="_xlnm.Print_Area" localSheetId="8">'8. Mapa de Riesgos'!$A$1:$H$16</definedName>
    <definedName name="_xlnm.Print_Area" localSheetId="9">'9. Dashboard'!$A$1:$F$42</definedName>
    <definedName name="_xlnm.Print_Area" localSheetId="0">Portada!$A$1:$F$61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8" i="10" l="1"/>
  <c r="C11" i="10"/>
  <c r="C10" i="10"/>
  <c r="F9" i="10"/>
  <c r="F8" i="10"/>
  <c r="F7" i="10"/>
  <c r="F6" i="10"/>
  <c r="F3" i="10"/>
  <c r="C3" i="10"/>
  <c r="H14" i="9"/>
  <c r="G14" i="9"/>
  <c r="F14" i="9"/>
  <c r="E14" i="9"/>
  <c r="D14" i="9"/>
  <c r="C14" i="9"/>
  <c r="H13" i="9"/>
  <c r="G13" i="9"/>
  <c r="F13" i="9"/>
  <c r="E13" i="9"/>
  <c r="D13" i="9"/>
  <c r="C13" i="9"/>
  <c r="I49" i="8"/>
  <c r="H49" i="8"/>
  <c r="F49" i="8"/>
  <c r="E49" i="8"/>
  <c r="D49" i="8"/>
  <c r="C49" i="8"/>
  <c r="B49" i="8"/>
  <c r="I48" i="8"/>
  <c r="H48" i="8"/>
  <c r="F48" i="8"/>
  <c r="E48" i="8"/>
  <c r="D48" i="8"/>
  <c r="C48" i="8"/>
  <c r="B48" i="8"/>
  <c r="I47" i="8"/>
  <c r="H47" i="8"/>
  <c r="F47" i="8"/>
  <c r="E47" i="8"/>
  <c r="D47" i="8"/>
  <c r="C47" i="8"/>
  <c r="B47" i="8"/>
  <c r="I46" i="8"/>
  <c r="H46" i="8"/>
  <c r="F46" i="8"/>
  <c r="E46" i="8"/>
  <c r="D46" i="8"/>
  <c r="C46" i="8"/>
  <c r="B46" i="8"/>
  <c r="I45" i="8"/>
  <c r="H45" i="8"/>
  <c r="F45" i="8"/>
  <c r="E45" i="8"/>
  <c r="D45" i="8"/>
  <c r="C45" i="8"/>
  <c r="B45" i="8"/>
  <c r="I44" i="8"/>
  <c r="H44" i="8"/>
  <c r="F44" i="8"/>
  <c r="E44" i="8"/>
  <c r="D44" i="8"/>
  <c r="C44" i="8"/>
  <c r="B44" i="8"/>
  <c r="I43" i="8"/>
  <c r="H43" i="8"/>
  <c r="F43" i="8"/>
  <c r="E43" i="8"/>
  <c r="D43" i="8"/>
  <c r="C43" i="8"/>
  <c r="B43" i="8"/>
  <c r="I42" i="8"/>
  <c r="H42" i="8"/>
  <c r="F42" i="8"/>
  <c r="E42" i="8"/>
  <c r="D42" i="8"/>
  <c r="C42" i="8"/>
  <c r="B42" i="8"/>
  <c r="I41" i="8"/>
  <c r="H41" i="8"/>
  <c r="F41" i="8"/>
  <c r="E41" i="8"/>
  <c r="D41" i="8"/>
  <c r="C41" i="8"/>
  <c r="B41" i="8"/>
  <c r="I40" i="8"/>
  <c r="H40" i="8"/>
  <c r="F40" i="8"/>
  <c r="E40" i="8"/>
  <c r="D40" i="8"/>
  <c r="C40" i="8"/>
  <c r="B40" i="8"/>
  <c r="I39" i="8"/>
  <c r="H39" i="8"/>
  <c r="F39" i="8"/>
  <c r="E39" i="8"/>
  <c r="D39" i="8"/>
  <c r="C39" i="8"/>
  <c r="B39" i="8"/>
  <c r="I38" i="8"/>
  <c r="H38" i="8"/>
  <c r="F38" i="8"/>
  <c r="E38" i="8"/>
  <c r="D38" i="8"/>
  <c r="C38" i="8"/>
  <c r="B38" i="8"/>
  <c r="I37" i="8"/>
  <c r="H37" i="8"/>
  <c r="F37" i="8"/>
  <c r="E37" i="8"/>
  <c r="D37" i="8"/>
  <c r="C37" i="8"/>
  <c r="B37" i="8"/>
  <c r="I36" i="8"/>
  <c r="H36" i="8"/>
  <c r="F36" i="8"/>
  <c r="E36" i="8"/>
  <c r="D36" i="8"/>
  <c r="C36" i="8"/>
  <c r="B36" i="8"/>
  <c r="I35" i="8"/>
  <c r="H35" i="8"/>
  <c r="F35" i="8"/>
  <c r="E35" i="8"/>
  <c r="D35" i="8"/>
  <c r="C35" i="8"/>
  <c r="B35" i="8"/>
  <c r="I34" i="8"/>
  <c r="H34" i="8"/>
  <c r="F34" i="8"/>
  <c r="E34" i="8"/>
  <c r="D34" i="8"/>
  <c r="C34" i="8"/>
  <c r="B34" i="8"/>
  <c r="I33" i="8"/>
  <c r="H33" i="8"/>
  <c r="F33" i="8"/>
  <c r="E33" i="8"/>
  <c r="D33" i="8"/>
  <c r="C33" i="8"/>
  <c r="B33" i="8"/>
  <c r="I32" i="8"/>
  <c r="H32" i="8"/>
  <c r="F32" i="8"/>
  <c r="E32" i="8"/>
  <c r="D32" i="8"/>
  <c r="C32" i="8"/>
  <c r="B32" i="8"/>
  <c r="I31" i="8"/>
  <c r="H31" i="8"/>
  <c r="F31" i="8"/>
  <c r="E31" i="8"/>
  <c r="D31" i="8"/>
  <c r="C31" i="8"/>
  <c r="B31" i="8"/>
  <c r="I30" i="8"/>
  <c r="H30" i="8"/>
  <c r="F30" i="8"/>
  <c r="E30" i="8"/>
  <c r="D30" i="8"/>
  <c r="C30" i="8"/>
  <c r="B30" i="8"/>
  <c r="I29" i="8"/>
  <c r="H29" i="8"/>
  <c r="F29" i="8"/>
  <c r="E29" i="8"/>
  <c r="D29" i="8"/>
  <c r="C29" i="8"/>
  <c r="B29" i="8"/>
  <c r="I28" i="8"/>
  <c r="H28" i="8"/>
  <c r="F28" i="8"/>
  <c r="E28" i="8"/>
  <c r="D28" i="8"/>
  <c r="C28" i="8"/>
  <c r="B28" i="8"/>
  <c r="I27" i="8"/>
  <c r="H27" i="8"/>
  <c r="F27" i="8"/>
  <c r="E27" i="8"/>
  <c r="D27" i="8"/>
  <c r="C27" i="8"/>
  <c r="B27" i="8"/>
  <c r="I26" i="8"/>
  <c r="H26" i="8"/>
  <c r="F26" i="8"/>
  <c r="E26" i="8"/>
  <c r="D26" i="8"/>
  <c r="C26" i="8"/>
  <c r="B26" i="8"/>
  <c r="I25" i="8"/>
  <c r="H25" i="8"/>
  <c r="F25" i="8"/>
  <c r="E25" i="8"/>
  <c r="D25" i="8"/>
  <c r="C25" i="8"/>
  <c r="B25" i="8"/>
  <c r="I24" i="8"/>
  <c r="H24" i="8"/>
  <c r="F24" i="8"/>
  <c r="E24" i="8"/>
  <c r="D24" i="8"/>
  <c r="C24" i="8"/>
  <c r="B24" i="8"/>
  <c r="I23" i="8"/>
  <c r="H23" i="8"/>
  <c r="F23" i="8"/>
  <c r="E23" i="8"/>
  <c r="D23" i="8"/>
  <c r="C23" i="8"/>
  <c r="B23" i="8"/>
  <c r="I22" i="8"/>
  <c r="H22" i="8"/>
  <c r="F22" i="8"/>
  <c r="E22" i="8"/>
  <c r="D22" i="8"/>
  <c r="C22" i="8"/>
  <c r="B22" i="8"/>
  <c r="I21" i="8"/>
  <c r="H21" i="8"/>
  <c r="F21" i="8"/>
  <c r="E21" i="8"/>
  <c r="D21" i="8"/>
  <c r="C21" i="8"/>
  <c r="B21" i="8"/>
  <c r="I20" i="8"/>
  <c r="H20" i="8"/>
  <c r="F20" i="8"/>
  <c r="E20" i="8"/>
  <c r="D20" i="8"/>
  <c r="C20" i="8"/>
  <c r="B20" i="8"/>
  <c r="I19" i="8"/>
  <c r="H19" i="8"/>
  <c r="F19" i="8"/>
  <c r="E19" i="8"/>
  <c r="D19" i="8"/>
  <c r="C19" i="8"/>
  <c r="B19" i="8"/>
  <c r="I18" i="8"/>
  <c r="H18" i="8"/>
  <c r="F18" i="8"/>
  <c r="E18" i="8"/>
  <c r="D18" i="8"/>
  <c r="C18" i="8"/>
  <c r="B18" i="8"/>
  <c r="I17" i="8"/>
  <c r="H17" i="8"/>
  <c r="F17" i="8"/>
  <c r="E17" i="8"/>
  <c r="D17" i="8"/>
  <c r="C17" i="8"/>
  <c r="B17" i="8"/>
  <c r="I16" i="8"/>
  <c r="H16" i="8"/>
  <c r="F16" i="8"/>
  <c r="E16" i="8"/>
  <c r="D16" i="8"/>
  <c r="C16" i="8"/>
  <c r="B16" i="8"/>
  <c r="I15" i="8"/>
  <c r="H15" i="8"/>
  <c r="F15" i="8"/>
  <c r="E15" i="8"/>
  <c r="D15" i="8"/>
  <c r="C15" i="8"/>
  <c r="B15" i="8"/>
  <c r="I14" i="8"/>
  <c r="H14" i="8"/>
  <c r="F14" i="8"/>
  <c r="E14" i="8"/>
  <c r="D14" i="8"/>
  <c r="C14" i="8"/>
  <c r="B14" i="8"/>
  <c r="I13" i="8"/>
  <c r="H13" i="8"/>
  <c r="F13" i="8"/>
  <c r="E13" i="8"/>
  <c r="D13" i="8"/>
  <c r="C13" i="8"/>
  <c r="B13" i="8"/>
  <c r="I12" i="8"/>
  <c r="H12" i="8"/>
  <c r="F12" i="8"/>
  <c r="E12" i="8"/>
  <c r="D12" i="8"/>
  <c r="C12" i="8"/>
  <c r="B12" i="8"/>
  <c r="I11" i="8"/>
  <c r="H11" i="8"/>
  <c r="F11" i="8"/>
  <c r="E11" i="8"/>
  <c r="D11" i="8"/>
  <c r="C11" i="8"/>
  <c r="B11" i="8"/>
  <c r="I10" i="8"/>
  <c r="H10" i="8"/>
  <c r="F10" i="8"/>
  <c r="E10" i="8"/>
  <c r="D10" i="8"/>
  <c r="C10" i="8"/>
  <c r="B10" i="8"/>
  <c r="I9" i="8"/>
  <c r="H9" i="8"/>
  <c r="F9" i="8"/>
  <c r="E9" i="8"/>
  <c r="D9" i="8"/>
  <c r="C9" i="8"/>
  <c r="B9" i="8"/>
  <c r="I8" i="8"/>
  <c r="H8" i="8"/>
  <c r="F8" i="8"/>
  <c r="E8" i="8"/>
  <c r="D8" i="8"/>
  <c r="C8" i="8"/>
  <c r="B8" i="8"/>
  <c r="I7" i="8"/>
  <c r="H7" i="8"/>
  <c r="F7" i="8"/>
  <c r="E7" i="8"/>
  <c r="D7" i="8"/>
  <c r="C7" i="8"/>
  <c r="B7" i="8"/>
  <c r="I6" i="8"/>
  <c r="H6" i="8"/>
  <c r="F6" i="8"/>
  <c r="E6" i="8"/>
  <c r="D6" i="8"/>
  <c r="C6" i="8"/>
  <c r="B6" i="8"/>
  <c r="I5" i="8"/>
  <c r="H5" i="8"/>
  <c r="F5" i="8"/>
  <c r="E5" i="8"/>
  <c r="D5" i="8"/>
  <c r="C5" i="8"/>
  <c r="B5" i="8"/>
  <c r="AB50" i="6"/>
  <c r="AD50" i="6" s="1"/>
  <c r="AE50" i="6" s="1"/>
  <c r="S50" i="6"/>
  <c r="U50" i="6" s="1"/>
  <c r="AB49" i="6"/>
  <c r="AD49" i="6" s="1"/>
  <c r="AE49" i="6" s="1"/>
  <c r="U49" i="6"/>
  <c r="W49" i="6" s="1"/>
  <c r="S49" i="6"/>
  <c r="AB48" i="6"/>
  <c r="AD48" i="6" s="1"/>
  <c r="AE48" i="6" s="1"/>
  <c r="U48" i="6"/>
  <c r="W48" i="6" s="1"/>
  <c r="S48" i="6"/>
  <c r="AB47" i="6"/>
  <c r="AD47" i="6" s="1"/>
  <c r="AE47" i="6" s="1"/>
  <c r="S47" i="6"/>
  <c r="U47" i="6" s="1"/>
  <c r="W47" i="6" s="1"/>
  <c r="AB46" i="6"/>
  <c r="AD46" i="6" s="1"/>
  <c r="AE46" i="6" s="1"/>
  <c r="S46" i="6"/>
  <c r="U46" i="6" s="1"/>
  <c r="AE45" i="6"/>
  <c r="AD45" i="6"/>
  <c r="AB45" i="6"/>
  <c r="S45" i="6"/>
  <c r="U45" i="6" s="1"/>
  <c r="AB44" i="6"/>
  <c r="AD44" i="6" s="1"/>
  <c r="AE44" i="6" s="1"/>
  <c r="S44" i="6"/>
  <c r="U44" i="6" s="1"/>
  <c r="AB43" i="6"/>
  <c r="AD43" i="6" s="1"/>
  <c r="AE43" i="6" s="1"/>
  <c r="S43" i="6"/>
  <c r="U43" i="6" s="1"/>
  <c r="AD42" i="6"/>
  <c r="AE42" i="6" s="1"/>
  <c r="AB42" i="6"/>
  <c r="S42" i="6"/>
  <c r="U42" i="6" s="1"/>
  <c r="AB41" i="6"/>
  <c r="AD41" i="6" s="1"/>
  <c r="AE41" i="6" s="1"/>
  <c r="W41" i="6"/>
  <c r="V41" i="6"/>
  <c r="G40" i="8" s="1"/>
  <c r="U41" i="6"/>
  <c r="S41" i="6"/>
  <c r="AB40" i="6"/>
  <c r="AD40" i="6" s="1"/>
  <c r="AE40" i="6" s="1"/>
  <c r="W40" i="6"/>
  <c r="S40" i="6"/>
  <c r="U40" i="6" s="1"/>
  <c r="V40" i="6" s="1"/>
  <c r="G39" i="8" s="1"/>
  <c r="AB39" i="6"/>
  <c r="AD39" i="6" s="1"/>
  <c r="AE39" i="6" s="1"/>
  <c r="S39" i="6"/>
  <c r="U39" i="6" s="1"/>
  <c r="AB38" i="6"/>
  <c r="AD38" i="6" s="1"/>
  <c r="AE38" i="6" s="1"/>
  <c r="U38" i="6"/>
  <c r="S38" i="6"/>
  <c r="AD37" i="6"/>
  <c r="AE37" i="6" s="1"/>
  <c r="AB37" i="6"/>
  <c r="S37" i="6"/>
  <c r="U37" i="6" s="1"/>
  <c r="AD36" i="6"/>
  <c r="AE36" i="6" s="1"/>
  <c r="AB36" i="6"/>
  <c r="S36" i="6"/>
  <c r="U36" i="6" s="1"/>
  <c r="AB35" i="6"/>
  <c r="AD35" i="6" s="1"/>
  <c r="AE35" i="6" s="1"/>
  <c r="S35" i="6"/>
  <c r="U35" i="6" s="1"/>
  <c r="AB34" i="6"/>
  <c r="AD34" i="6" s="1"/>
  <c r="AE34" i="6" s="1"/>
  <c r="S34" i="6"/>
  <c r="U34" i="6" s="1"/>
  <c r="AB33" i="6"/>
  <c r="AD33" i="6" s="1"/>
  <c r="AE33" i="6" s="1"/>
  <c r="U33" i="6"/>
  <c r="W33" i="6" s="1"/>
  <c r="S33" i="6"/>
  <c r="AB32" i="6"/>
  <c r="AD32" i="6" s="1"/>
  <c r="AE32" i="6" s="1"/>
  <c r="S32" i="6"/>
  <c r="U32" i="6" s="1"/>
  <c r="AB31" i="6"/>
  <c r="AD31" i="6" s="1"/>
  <c r="AE31" i="6" s="1"/>
  <c r="S31" i="6"/>
  <c r="U31" i="6" s="1"/>
  <c r="W31" i="6" s="1"/>
  <c r="AE30" i="6"/>
  <c r="AB30" i="6"/>
  <c r="AD30" i="6" s="1"/>
  <c r="S30" i="6"/>
  <c r="U30" i="6" s="1"/>
  <c r="AD29" i="6"/>
  <c r="AE29" i="6" s="1"/>
  <c r="AB29" i="6"/>
  <c r="S29" i="6"/>
  <c r="U29" i="6" s="1"/>
  <c r="AB28" i="6"/>
  <c r="AD28" i="6" s="1"/>
  <c r="AE28" i="6" s="1"/>
  <c r="S28" i="6"/>
  <c r="U28" i="6" s="1"/>
  <c r="AB27" i="6"/>
  <c r="AD27" i="6" s="1"/>
  <c r="AE27" i="6" s="1"/>
  <c r="S27" i="6"/>
  <c r="U27" i="6" s="1"/>
  <c r="AD26" i="6"/>
  <c r="AE26" i="6" s="1"/>
  <c r="AB26" i="6"/>
  <c r="S26" i="6"/>
  <c r="U26" i="6" s="1"/>
  <c r="W26" i="6" s="1"/>
  <c r="AB25" i="6"/>
  <c r="AD25" i="6" s="1"/>
  <c r="AE25" i="6" s="1"/>
  <c r="U25" i="6"/>
  <c r="W25" i="6" s="1"/>
  <c r="S25" i="6"/>
  <c r="AB24" i="6"/>
  <c r="AD24" i="6" s="1"/>
  <c r="AE24" i="6" s="1"/>
  <c r="U24" i="6"/>
  <c r="V24" i="6" s="1"/>
  <c r="G23" i="8" s="1"/>
  <c r="S24" i="6"/>
  <c r="AB23" i="6"/>
  <c r="AD23" i="6" s="1"/>
  <c r="AE23" i="6" s="1"/>
  <c r="S23" i="6"/>
  <c r="U23" i="6" s="1"/>
  <c r="AB22" i="6"/>
  <c r="AD22" i="6" s="1"/>
  <c r="AE22" i="6" s="1"/>
  <c r="U22" i="6"/>
  <c r="S22" i="6"/>
  <c r="AD21" i="6"/>
  <c r="AE21" i="6" s="1"/>
  <c r="AB21" i="6"/>
  <c r="S21" i="6"/>
  <c r="U21" i="6" s="1"/>
  <c r="AB20" i="6"/>
  <c r="AD20" i="6" s="1"/>
  <c r="AE20" i="6" s="1"/>
  <c r="S20" i="6"/>
  <c r="U20" i="6" s="1"/>
  <c r="AB19" i="6"/>
  <c r="AD19" i="6" s="1"/>
  <c r="AE19" i="6" s="1"/>
  <c r="W19" i="6"/>
  <c r="S19" i="6"/>
  <c r="U19" i="6" s="1"/>
  <c r="V19" i="6" s="1"/>
  <c r="G18" i="8" s="1"/>
  <c r="AB18" i="6"/>
  <c r="AD18" i="6" s="1"/>
  <c r="AE18" i="6" s="1"/>
  <c r="V18" i="6"/>
  <c r="G17" i="8" s="1"/>
  <c r="S18" i="6"/>
  <c r="U18" i="6" s="1"/>
  <c r="W18" i="6" s="1"/>
  <c r="AB17" i="6"/>
  <c r="AD17" i="6" s="1"/>
  <c r="AE17" i="6" s="1"/>
  <c r="V17" i="6"/>
  <c r="G16" i="8" s="1"/>
  <c r="U17" i="6"/>
  <c r="W17" i="6" s="1"/>
  <c r="S17" i="6"/>
  <c r="AB16" i="6"/>
  <c r="AD16" i="6" s="1"/>
  <c r="AE16" i="6" s="1"/>
  <c r="S16" i="6"/>
  <c r="U16" i="6" s="1"/>
  <c r="AB15" i="6"/>
  <c r="AD15" i="6" s="1"/>
  <c r="AE15" i="6" s="1"/>
  <c r="S15" i="6"/>
  <c r="U15" i="6" s="1"/>
  <c r="W15" i="6" s="1"/>
  <c r="AB14" i="6"/>
  <c r="AD14" i="6" s="1"/>
  <c r="AE14" i="6" s="1"/>
  <c r="S14" i="6"/>
  <c r="U14" i="6" s="1"/>
  <c r="AD13" i="6"/>
  <c r="AE13" i="6" s="1"/>
  <c r="AB13" i="6"/>
  <c r="S13" i="6"/>
  <c r="U13" i="6" s="1"/>
  <c r="AB12" i="6"/>
  <c r="AD12" i="6" s="1"/>
  <c r="AE12" i="6" s="1"/>
  <c r="S12" i="6"/>
  <c r="U12" i="6" s="1"/>
  <c r="AB11" i="6"/>
  <c r="AD11" i="6" s="1"/>
  <c r="AE11" i="6" s="1"/>
  <c r="S11" i="6"/>
  <c r="U11" i="6" s="1"/>
  <c r="V11" i="6" s="1"/>
  <c r="G10" i="8" s="1"/>
  <c r="AD10" i="6"/>
  <c r="AE10" i="6" s="1"/>
  <c r="AB10" i="6"/>
  <c r="W10" i="6"/>
  <c r="V10" i="6"/>
  <c r="G9" i="8" s="1"/>
  <c r="S10" i="6"/>
  <c r="U10" i="6" s="1"/>
  <c r="AB9" i="6"/>
  <c r="AD9" i="6" s="1"/>
  <c r="AE9" i="6" s="1"/>
  <c r="U9" i="6"/>
  <c r="S9" i="6"/>
  <c r="AB8" i="6"/>
  <c r="AD8" i="6" s="1"/>
  <c r="AE8" i="6" s="1"/>
  <c r="E7" i="9" s="1"/>
  <c r="S8" i="6"/>
  <c r="U8" i="6" s="1"/>
  <c r="AB7" i="6"/>
  <c r="AD7" i="6" s="1"/>
  <c r="AE7" i="6" s="1"/>
  <c r="S7" i="6"/>
  <c r="U7" i="6" s="1"/>
  <c r="AB6" i="6"/>
  <c r="AD6" i="6" s="1"/>
  <c r="AE6" i="6" s="1"/>
  <c r="U6" i="6"/>
  <c r="S6" i="6"/>
  <c r="G3" i="6"/>
  <c r="C3" i="6"/>
  <c r="G11" i="9" l="1"/>
  <c r="F11" i="9"/>
  <c r="E11" i="9"/>
  <c r="D11" i="9"/>
  <c r="C11" i="9"/>
  <c r="V8" i="6"/>
  <c r="G7" i="8" s="1"/>
  <c r="W8" i="6"/>
  <c r="C9" i="10"/>
  <c r="F37" i="10"/>
  <c r="E19" i="10"/>
  <c r="E18" i="10"/>
  <c r="E17" i="10"/>
  <c r="G5" i="9"/>
  <c r="F5" i="9"/>
  <c r="E16" i="10"/>
  <c r="E5" i="9"/>
  <c r="C5" i="9"/>
  <c r="D5" i="9"/>
  <c r="E15" i="10"/>
  <c r="V9" i="6"/>
  <c r="G8" i="8" s="1"/>
  <c r="W9" i="6"/>
  <c r="W14" i="6"/>
  <c r="V14" i="6"/>
  <c r="G13" i="8" s="1"/>
  <c r="W29" i="6"/>
  <c r="V29" i="6"/>
  <c r="G28" i="8" s="1"/>
  <c r="W35" i="6"/>
  <c r="V35" i="6"/>
  <c r="G34" i="8" s="1"/>
  <c r="G8" i="9"/>
  <c r="F8" i="9"/>
  <c r="E8" i="9"/>
  <c r="D8" i="9"/>
  <c r="C8" i="9"/>
  <c r="W24" i="6"/>
  <c r="W46" i="6"/>
  <c r="V46" i="6"/>
  <c r="G45" i="8" s="1"/>
  <c r="V15" i="6"/>
  <c r="G14" i="8" s="1"/>
  <c r="V47" i="6"/>
  <c r="G46" i="8" s="1"/>
  <c r="W20" i="6"/>
  <c r="V20" i="6"/>
  <c r="G19" i="8" s="1"/>
  <c r="C6" i="10"/>
  <c r="V6" i="6"/>
  <c r="W6" i="6"/>
  <c r="V26" i="6"/>
  <c r="G25" i="8" s="1"/>
  <c r="V7" i="6"/>
  <c r="G6" i="8" s="1"/>
  <c r="W7" i="6"/>
  <c r="G10" i="9"/>
  <c r="E10" i="9"/>
  <c r="F10" i="9"/>
  <c r="D10" i="9"/>
  <c r="W32" i="6"/>
  <c r="V32" i="6"/>
  <c r="G31" i="8" s="1"/>
  <c r="W43" i="6"/>
  <c r="V43" i="6"/>
  <c r="G42" i="8" s="1"/>
  <c r="W36" i="6"/>
  <c r="V36" i="6"/>
  <c r="G35" i="8" s="1"/>
  <c r="W21" i="6"/>
  <c r="V21" i="6"/>
  <c r="G20" i="8" s="1"/>
  <c r="C10" i="9"/>
  <c r="W16" i="6"/>
  <c r="V16" i="6"/>
  <c r="G15" i="8" s="1"/>
  <c r="W11" i="6"/>
  <c r="G6" i="9"/>
  <c r="F6" i="9"/>
  <c r="E6" i="9"/>
  <c r="D6" i="9"/>
  <c r="C6" i="9"/>
  <c r="V22" i="6"/>
  <c r="G21" i="8" s="1"/>
  <c r="W22" i="6"/>
  <c r="W38" i="6"/>
  <c r="V38" i="6"/>
  <c r="G37" i="8" s="1"/>
  <c r="W27" i="6"/>
  <c r="V27" i="6"/>
  <c r="G26" i="8" s="1"/>
  <c r="W44" i="6"/>
  <c r="V44" i="6"/>
  <c r="G43" i="8" s="1"/>
  <c r="V39" i="6"/>
  <c r="G38" i="8" s="1"/>
  <c r="W39" i="6"/>
  <c r="W50" i="6"/>
  <c r="V50" i="6"/>
  <c r="G49" i="8" s="1"/>
  <c r="W30" i="6"/>
  <c r="V30" i="6"/>
  <c r="G29" i="8" s="1"/>
  <c r="F9" i="9"/>
  <c r="E9" i="9"/>
  <c r="D9" i="9"/>
  <c r="C9" i="9"/>
  <c r="G9" i="9"/>
  <c r="V42" i="6"/>
  <c r="G41" i="8" s="1"/>
  <c r="W42" i="6"/>
  <c r="V31" i="6"/>
  <c r="G30" i="8" s="1"/>
  <c r="W28" i="6"/>
  <c r="V28" i="6"/>
  <c r="G27" i="8" s="1"/>
  <c r="W45" i="6"/>
  <c r="V45" i="6"/>
  <c r="G44" i="8" s="1"/>
  <c r="W37" i="6"/>
  <c r="V37" i="6"/>
  <c r="G36" i="8" s="1"/>
  <c r="W34" i="6"/>
  <c r="V34" i="6"/>
  <c r="G33" i="8" s="1"/>
  <c r="W12" i="6"/>
  <c r="V12" i="6"/>
  <c r="G11" i="8" s="1"/>
  <c r="W13" i="6"/>
  <c r="V13" i="6"/>
  <c r="G12" i="8" s="1"/>
  <c r="W23" i="6"/>
  <c r="V23" i="6"/>
  <c r="G22" i="8" s="1"/>
  <c r="F7" i="9"/>
  <c r="G7" i="9"/>
  <c r="D7" i="9"/>
  <c r="C7" i="9"/>
  <c r="H7" i="9" s="1"/>
  <c r="D12" i="9"/>
  <c r="C12" i="9"/>
  <c r="G12" i="9"/>
  <c r="F12" i="9"/>
  <c r="E12" i="9"/>
  <c r="V33" i="6"/>
  <c r="G32" i="8" s="1"/>
  <c r="V49" i="6"/>
  <c r="G48" i="8" s="1"/>
  <c r="V48" i="6"/>
  <c r="G47" i="8" s="1"/>
  <c r="V25" i="6"/>
  <c r="G24" i="8" s="1"/>
  <c r="E15" i="9" l="1"/>
  <c r="F15" i="9"/>
  <c r="G15" i="9"/>
  <c r="F39" i="10"/>
  <c r="C7" i="10"/>
  <c r="C8" i="10"/>
  <c r="C19" i="10"/>
  <c r="C18" i="10"/>
  <c r="C17" i="10"/>
  <c r="C16" i="10"/>
  <c r="C15" i="10"/>
  <c r="G5" i="8"/>
  <c r="H9" i="9"/>
  <c r="H11" i="9"/>
  <c r="H12" i="9"/>
  <c r="F10" i="10"/>
  <c r="H6" i="9"/>
  <c r="H10" i="9"/>
  <c r="D15" i="9"/>
  <c r="H8" i="9"/>
  <c r="H5" i="9"/>
  <c r="C15" i="9"/>
  <c r="H15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7" authorId="0" shapeId="0" xr:uid="{00000000-0006-0000-0000-000001000000}">
      <text>
        <r>
          <rPr>
            <sz val="10"/>
            <rFont val="Arial"/>
            <family val="2"/>
          </rPr>
          <t>Elija: BÁSICO (Detalle) / MEDIO / AVANZADO / SÚPER PROFESIONAL.
Vea la hoja '1. Niveles' para el comparativo de funcionalidades.</t>
        </r>
      </text>
    </comment>
  </commentList>
</comments>
</file>

<file path=xl/sharedStrings.xml><?xml version="1.0" encoding="utf-8"?>
<sst xmlns="http://schemas.openxmlformats.org/spreadsheetml/2006/main" count="1081" uniqueCount="738">
  <si>
    <t>© 2026 Ing. Pierre R. - peru.labs.pe@gmail.com - Generador IPERC Normativo Perú. Uso bajo licencia del autor.</t>
  </si>
  <si>
    <t>GENERADOR IPERC NORMATIVO – PERÚ</t>
  </si>
  <si>
    <t>Identificación de Peligros, Evaluación de Riesgos y Medidas de Control</t>
  </si>
  <si>
    <t>Matriz dinámica, descriptiva y trazable  •  amparada en la Ley N.° 29783 y su Reglamento</t>
  </si>
  <si>
    <t>SELECCIONE EL NIVEL DE PROFUNDIDAD DE LA MATRIZ</t>
  </si>
  <si>
    <t>Nivel activo:</t>
  </si>
  <si>
    <t>Sector / rubro:</t>
  </si>
  <si>
    <t>Oficina / Sector público</t>
  </si>
  <si>
    <t>CONTENIDO DEL LIBRO</t>
  </si>
  <si>
    <t>1. Niveles</t>
  </si>
  <si>
    <t>Comparativo Básico / Medio / Avanzado / Súper Profesional.</t>
  </si>
  <si>
    <t>2. Datos Generales</t>
  </si>
  <si>
    <t>Identificación de la empresa o entidad y del SGSST.</t>
  </si>
  <si>
    <t>3. Metodología</t>
  </si>
  <si>
    <t>Método R.M. 050-2013-TR: índices, probabilidad, severidad y nivel.</t>
  </si>
  <si>
    <t>4. Catálogo Peligros</t>
  </si>
  <si>
    <t>Base maestra multisectorial de peligros, riesgos y controles.</t>
  </si>
  <si>
    <t>5. Matriz IPERC</t>
  </si>
  <si>
    <t>Matriz de trabajo dinámica con riesgo inicial y residual.</t>
  </si>
  <si>
    <t>6. Motor Normativo</t>
  </si>
  <si>
    <t>Base legal estructurada: norma, artículo, obligación y evidencia.</t>
  </si>
  <si>
    <t>7. Plan de Acción</t>
  </si>
  <si>
    <t>Controles pendientes con responsable, plazo y estado.</t>
  </si>
  <si>
    <t>8. Mapa de Riesgos</t>
  </si>
  <si>
    <t>Resumen por área y nivel de riesgo.</t>
  </si>
  <si>
    <t>9. Dashboard</t>
  </si>
  <si>
    <t>Indicadores de gestión y alertas.</t>
  </si>
  <si>
    <t>CÓMO USAR ESTE GENERADOR</t>
  </si>
  <si>
    <t>1) Elija el nivel y el sector arriba.  2) Complete '2. Datos Generales'.</t>
  </si>
  <si>
    <t>3) En '5. Matriz IPERC' use las listas desplegables (peligro, tipo, índices, severidad).</t>
  </si>
  <si>
    <t>4) Los niveles de riesgo inicial y residual se calculan automáticamente.</t>
  </si>
  <si>
    <t>5) Asocie norma y evidencia desde '6. Motor Normativo'.</t>
  </si>
  <si>
    <t>6) Revise '9. Dashboard' para indicadores, riesgos críticos y controles vencidos.</t>
  </si>
  <si>
    <t>Elaborado por</t>
  </si>
  <si>
    <t>Ing. Pierre R.  ·  peru.labs.pe@gmail.com</t>
  </si>
  <si>
    <t>Versión</t>
  </si>
  <si>
    <t>v1.0 – 2026  ·  Documento referencial; el sustento técnico final es responsabilidad del empleador.</t>
  </si>
  <si>
    <t>NIVELES DEL GENERADOR IPERC — ¿QUÉ INCLUYE CADA UNO?</t>
  </si>
  <si>
    <t>Funcionalidad / Capa</t>
  </si>
  <si>
    <t>BÁSICO
(Detalle)</t>
  </si>
  <si>
    <t>MEDIO</t>
  </si>
  <si>
    <t>AVANZADO</t>
  </si>
  <si>
    <t>SÚPER
PROFESIONAL</t>
  </si>
  <si>
    <t>Datos generales de la empresa</t>
  </si>
  <si>
    <t>Sí</t>
  </si>
  <si>
    <t>Identificación de peligro y riesgo</t>
  </si>
  <si>
    <t>Consecuencia / daño potencial</t>
  </si>
  <si>
    <t>Severidad y nivel de riesgo (Prob x Sev)</t>
  </si>
  <si>
    <t>Simplificado</t>
  </si>
  <si>
    <t>Índices A,B,C,D (R.M. 050-2013-TR)</t>
  </si>
  <si>
    <t>No</t>
  </si>
  <si>
    <t>Controles por jerarquía (Art. 21 Ley 29783)</t>
  </si>
  <si>
    <t>EPP/básico</t>
  </si>
  <si>
    <t>Sí (5 niveles)</t>
  </si>
  <si>
    <t>Responsable y plazo de implementación</t>
  </si>
  <si>
    <t>Riesgo residual (después del control)</t>
  </si>
  <si>
    <t>Sustento normativo (norma + artículo)</t>
  </si>
  <si>
    <t>Referencial</t>
  </si>
  <si>
    <t>Sí (motor normativo)</t>
  </si>
  <si>
    <t>Evidencia exigible por riesgo</t>
  </si>
  <si>
    <t>Tarea rutinaria / no rutinaria y expuestos</t>
  </si>
  <si>
    <t>Participación trabajador / Comité SST</t>
  </si>
  <si>
    <t>Control de versión y fecha de revisión</t>
  </si>
  <si>
    <t>Parcial</t>
  </si>
  <si>
    <t>Sí (trazabilidad)</t>
  </si>
  <si>
    <t>Mapa de riesgos</t>
  </si>
  <si>
    <t>Dashboard e indicadores de gestión</t>
  </si>
  <si>
    <t>Sí (completo + alertas)</t>
  </si>
  <si>
    <t>Módulo normativo por sector</t>
  </si>
  <si>
    <t>Apto para fiscalización SUNAFIL</t>
  </si>
  <si>
    <t>Inicial</t>
  </si>
  <si>
    <t>Sí (defendible)</t>
  </si>
  <si>
    <t>Recomendación</t>
  </si>
  <si>
    <t>BÁSICO: microempresa / oficina con pocos puestos que recién inicia su SGSST.</t>
  </si>
  <si>
    <t>MEDIO: pyme con varias áreas; cumple la metodología de índices de R.M. 050-2013-TR.</t>
  </si>
  <si>
    <t>AVANZADO: empresa con riesgos moderados/altos; incorpora riesgo residual y sustento legal.</t>
  </si>
  <si>
    <t>SÚPER PROFESIONAL: empresa de alto riesgo o lista para fiscalización SUNAFIL; trazabilidad completa.</t>
  </si>
  <si>
    <t>DATOS GENERALES DE LA EMPRESA / ENTIDAD Y DEL SGSST</t>
  </si>
  <si>
    <t>Identificación</t>
  </si>
  <si>
    <t>Razón social</t>
  </si>
  <si>
    <t>RUC</t>
  </si>
  <si>
    <t>Domicilio / sede</t>
  </si>
  <si>
    <t>Actividad económica (CIIU)</t>
  </si>
  <si>
    <t>Sector (público/privado)</t>
  </si>
  <si>
    <t>Rubro</t>
  </si>
  <si>
    <t>N.° total de trabajadores</t>
  </si>
  <si>
    <t>Fecha de elaboración</t>
  </si>
  <si>
    <t>Datos del SGSST</t>
  </si>
  <si>
    <t>¿Comité o Supervisor de SST?</t>
  </si>
  <si>
    <t>N.° de miembros del Comité</t>
  </si>
  <si>
    <t>¿Reglamento Interno de SST?</t>
  </si>
  <si>
    <t>¿Política de SST aprobada?</t>
  </si>
  <si>
    <t>¿Programa Anual de SST?</t>
  </si>
  <si>
    <t>¿Mapa de riesgos elaborado?</t>
  </si>
  <si>
    <t>Responsable de SST</t>
  </si>
  <si>
    <t>Profesión / colegiatura</t>
  </si>
  <si>
    <t>Elaboración y aprobación</t>
  </si>
  <si>
    <t>Cargo</t>
  </si>
  <si>
    <t>Revisado por (Comité/Supervisor)</t>
  </si>
  <si>
    <t>Fecha de revisión</t>
  </si>
  <si>
    <t>Aprobado por (Alta dirección)</t>
  </si>
  <si>
    <t>Fecha de aprobación</t>
  </si>
  <si>
    <t>Versión del documento</t>
  </si>
  <si>
    <t>Próxima actualización</t>
  </si>
  <si>
    <t>Nota legal: la evaluación inicial se realiza por puesto de trabajo, con personal competente y consulta a los trabajadores (Art. 77, D.S. 005-2012-TR). Debe actualizarse al menos una vez al año o cuando cambien las condiciones (Art. 57, Ley 29783).</t>
  </si>
  <si>
    <t>METODOLOGÍA DE EVALUACIÓN DE RIESGOS (R.M. N.° 050-2013-TR)</t>
  </si>
  <si>
    <t>Nivel de Riesgo = Probabilidad × Severidad     |     Probabilidad = A + B + C + D</t>
  </si>
  <si>
    <t>ÍNDICES DE PROBABILIDAD (cada uno de 1 a 3)</t>
  </si>
  <si>
    <t>Índice</t>
  </si>
  <si>
    <t>Concepto</t>
  </si>
  <si>
    <t>Valor 1</t>
  </si>
  <si>
    <t>Valor 2</t>
  </si>
  <si>
    <t>Valor 3</t>
  </si>
  <si>
    <t>A</t>
  </si>
  <si>
    <t>Personas expuestas</t>
  </si>
  <si>
    <t>1 a 3 (=1)</t>
  </si>
  <si>
    <t>4 a 12 (=2)</t>
  </si>
  <si>
    <t>más de 12 (=3)</t>
  </si>
  <si>
    <t>B</t>
  </si>
  <si>
    <t>Procedimientos existentes</t>
  </si>
  <si>
    <t>Existen y son satisfactorios (=1)</t>
  </si>
  <si>
    <t>Existen parcialmente (=2)</t>
  </si>
  <si>
    <t>No existen (=3)</t>
  </si>
  <si>
    <t>C</t>
  </si>
  <si>
    <t>Capacitación / entrenamiento</t>
  </si>
  <si>
    <t>Personal entrenado, conoce el peligro (=1)</t>
  </si>
  <si>
    <t>Parcialmente entrenado (=2)</t>
  </si>
  <si>
    <t>No entrenado (=3)</t>
  </si>
  <si>
    <t>D</t>
  </si>
  <si>
    <t>Exposición al riesgo</t>
  </si>
  <si>
    <t>Esporádica – 1 vez/año (=1)</t>
  </si>
  <si>
    <t>Eventual – 1 vez/mes (=2)</t>
  </si>
  <si>
    <t>Permanente – 1 vez/día (=3)</t>
  </si>
  <si>
    <t>ÍNDICE DE SEVERIDAD (consecuencia)</t>
  </si>
  <si>
    <t>1</t>
  </si>
  <si>
    <t>Ligeramente dañino</t>
  </si>
  <si>
    <t>Lesión leve sin incapacidad / molestia</t>
  </si>
  <si>
    <t>2</t>
  </si>
  <si>
    <t>Dañino</t>
  </si>
  <si>
    <t>Lesión con incapacidad temporal / daño a la salud reversible</t>
  </si>
  <si>
    <t>3</t>
  </si>
  <si>
    <t>Extremadamente dañino</t>
  </si>
  <si>
    <t>Lesión grave, incapacidad permanente o muerte</t>
  </si>
  <si>
    <t>NIVEL DE RIESGO Y SIGNIFICANCIA (Probabilidad × Severidad)</t>
  </si>
  <si>
    <t>Puntaje</t>
  </si>
  <si>
    <t>Nivel de riesgo</t>
  </si>
  <si>
    <t>Significativo</t>
  </si>
  <si>
    <t>Plazo de corrección</t>
  </si>
  <si>
    <t>4</t>
  </si>
  <si>
    <t>Trivial (TV)</t>
  </si>
  <si>
    <t>NO</t>
  </si>
  <si>
    <t>No requiere acción específica</t>
  </si>
  <si>
    <t>5 a 8</t>
  </si>
  <si>
    <t>Tolerable (TO)</t>
  </si>
  <si>
    <t>No requiere mejora; mantener controles</t>
  </si>
  <si>
    <t>9 a 16</t>
  </si>
  <si>
    <t>Moderado (MO)</t>
  </si>
  <si>
    <t>SÍ</t>
  </si>
  <si>
    <t>Reducir el riesgo en plazo definido</t>
  </si>
  <si>
    <t>17 a 24</t>
  </si>
  <si>
    <t>Importante (IM)</t>
  </si>
  <si>
    <t>No iniciar hasta reducir el riesgo</t>
  </si>
  <si>
    <t>25 a 36</t>
  </si>
  <si>
    <t>Intolerable (IT)</t>
  </si>
  <si>
    <t>Detener actividad hasta controlar</t>
  </si>
  <si>
    <t>El riesgo residual se recalcula tras aplicar los controles, mejorando los índices B (procedimientos) y C (capacitación). La jerarquía de control (Art. 21, Ley 29783) prioriza: eliminación › sustitución › ingeniería › administrativos › EPP.</t>
  </si>
  <si>
    <t>CATÁLOGO MAESTRO DE PELIGROS, RIESGOS Y CONTROLES (multisectorial)</t>
  </si>
  <si>
    <t>Tipo de peligro</t>
  </si>
  <si>
    <t>Peligro</t>
  </si>
  <si>
    <t>Riesgo (evento peligroso)</t>
  </si>
  <si>
    <t>Consecuencia / daño</t>
  </si>
  <si>
    <t>Eliminación</t>
  </si>
  <si>
    <t>Sustitución</t>
  </si>
  <si>
    <t>Control de ingeniería</t>
  </si>
  <si>
    <t>Control administrativo</t>
  </si>
  <si>
    <t>EPP</t>
  </si>
  <si>
    <t>Norma base</t>
  </si>
  <si>
    <t>Sectores típicos</t>
  </si>
  <si>
    <t>Físico</t>
  </si>
  <si>
    <t>Ruido por maquinaria / equipos</t>
  </si>
  <si>
    <t>Exposición a ruido ocupacional</t>
  </si>
  <si>
    <t>Hipoacusia inducida por ruido, fatiga auditiva</t>
  </si>
  <si>
    <t>Eliminar fuente de ruido innecesaria</t>
  </si>
  <si>
    <t>Sustituir por equipo de bajo nivel sonoro</t>
  </si>
  <si>
    <t>Encerramiento acústico, aislamiento, mantenimiento</t>
  </si>
  <si>
    <t>Monitoreo ocupacional, rotación, pausas, señalización</t>
  </si>
  <si>
    <t>Protección auditiva (tapones/orejeras)</t>
  </si>
  <si>
    <t>Ley 29783 / D.S. 005-2012-TR</t>
  </si>
  <si>
    <t>Manufactura, Construcción, Minería</t>
  </si>
  <si>
    <t>Iluminación deficiente</t>
  </si>
  <si>
    <t>Exposición a iluminación inadecuada</t>
  </si>
  <si>
    <t>Fatiga visual, cefalea, errores y accidentes</t>
  </si>
  <si>
    <t>Rediseñar puesto con luz natural</t>
  </si>
  <si>
    <t>—</t>
  </si>
  <si>
    <t>Mejorar luminarias, reubicar fuentes de luz</t>
  </si>
  <si>
    <t>Medición lux, mantenimiento de luminarias</t>
  </si>
  <si>
    <t>Ley 29783 / R.M. 050-2013-TR</t>
  </si>
  <si>
    <t>Oficina, Comercio, Salud</t>
  </si>
  <si>
    <t>Vibración (herramientas/equipos)</t>
  </si>
  <si>
    <t>Exposición a vibración mano-brazo / cuerpo entero</t>
  </si>
  <si>
    <t>Síndrome de vibración, trastornos osteomusculares</t>
  </si>
  <si>
    <t>Eliminar tarea vibratoria</t>
  </si>
  <si>
    <t>Sustituir herramienta por una antivibración</t>
  </si>
  <si>
    <t>Aislamiento, amortiguadores, mantenimiento</t>
  </si>
  <si>
    <t>Rotación de tareas, pausas, evaluación médica</t>
  </si>
  <si>
    <t>Guantes antivibración</t>
  </si>
  <si>
    <t>Construcción, Minería, Manufactura</t>
  </si>
  <si>
    <t>Temperatura extrema (calor/frío)</t>
  </si>
  <si>
    <t>Exposición a estrés térmico</t>
  </si>
  <si>
    <t>Golpe de calor, deshidratación, hipotermia</t>
  </si>
  <si>
    <t>Reprogramar trabajo a horas frescas</t>
  </si>
  <si>
    <t>Ventilación, climatización, barreras</t>
  </si>
  <si>
    <t>Hidratación, aclimatación, rotación, pausas</t>
  </si>
  <si>
    <t>Ropa térmica adecuada</t>
  </si>
  <si>
    <t>Construcción, Minería, Agroindustria</t>
  </si>
  <si>
    <t>Radiación UV (trabajo a intemperie)</t>
  </si>
  <si>
    <t>Exposición a radiación solar</t>
  </si>
  <si>
    <t>Quemaduras, cáncer de piel, daño ocular</t>
  </si>
  <si>
    <t>Reprogramar tareas a la sombra</t>
  </si>
  <si>
    <t>Toldos, cobertizos, mallas raschel</t>
  </si>
  <si>
    <t>Bloqueador, rotación, capacitación</t>
  </si>
  <si>
    <t>Sombrero, lentes UV, ropa de manga larga</t>
  </si>
  <si>
    <t>Construcción, Agroindustria, Transporte</t>
  </si>
  <si>
    <t>Químico</t>
  </si>
  <si>
    <t>Polvos / partículas en suspensión</t>
  </si>
  <si>
    <t>Inhalación de polvo (sílice, cemento, harina)</t>
  </si>
  <si>
    <t>Neumoconiosis, silicosis, asma ocupacional</t>
  </si>
  <si>
    <t>Eliminar proceso pulverulento</t>
  </si>
  <si>
    <t>Sustituir material por uno granulado/húmedo</t>
  </si>
  <si>
    <t>Extracción localizada, humectación, encerramiento</t>
  </si>
  <si>
    <t>Monitoreo, vigilancia médica, capacitación</t>
  </si>
  <si>
    <t>Respirador con filtro P2/P3</t>
  </si>
  <si>
    <t>Vapores / gases / solventes</t>
  </si>
  <si>
    <t>Inhalación de sustancias químicas</t>
  </si>
  <si>
    <t>Intoxicación, daño respiratorio, neurológico</t>
  </si>
  <si>
    <t>Eliminar uso del solvente</t>
  </si>
  <si>
    <t>Sustituir por producto de base agua/menos tóxico</t>
  </si>
  <si>
    <t>Ventilación forzada, cabina, extracción</t>
  </si>
  <si>
    <t>Hojas SDS, etiquetado, capacitación, monitoreo</t>
  </si>
  <si>
    <t>Respirador con cartucho químico, guantes</t>
  </si>
  <si>
    <t>Manufactura, Salud, Limpieza</t>
  </si>
  <si>
    <t>Sustancias corrosivas / irritantes</t>
  </si>
  <si>
    <t>Contacto con ácidos / álcalis</t>
  </si>
  <si>
    <t>Quemaduras químicas, dermatitis, daño ocular</t>
  </si>
  <si>
    <t>Eliminar manipulación directa</t>
  </si>
  <si>
    <t>Sustituir por producto menos agresivo</t>
  </si>
  <si>
    <t>Dosificación cerrada, duchas y lavaojos</t>
  </si>
  <si>
    <t>Etiquetado, SDS, almacenamiento, capacitación</t>
  </si>
  <si>
    <t>Guantes, careta, mandil resistente</t>
  </si>
  <si>
    <t>Manufactura, Limpieza, Salud</t>
  </si>
  <si>
    <t>Almacenamiento de inflamables</t>
  </si>
  <si>
    <t>Contacto/derrame de combustibles e inflamables</t>
  </si>
  <si>
    <t>Incendio, explosión, intoxicación</t>
  </si>
  <si>
    <t>Reducir stock al mínimo</t>
  </si>
  <si>
    <t>Sustituir por producto menos volátil</t>
  </si>
  <si>
    <t>Gabinete antiflama, ventilación, bandeja de contención</t>
  </si>
  <si>
    <t>Inventario, segregación, permisos, capacitación</t>
  </si>
  <si>
    <t>Guantes, respirador, ropa antiestática</t>
  </si>
  <si>
    <t>Manufactura, Transporte, Hidrocarburos</t>
  </si>
  <si>
    <t>Biológico</t>
  </si>
  <si>
    <t>Agentes biológicos (virus/bacterias)</t>
  </si>
  <si>
    <t>Exposición a agentes infecciosos</t>
  </si>
  <si>
    <t>Enfermedades infectocontagiosas</t>
  </si>
  <si>
    <t>Eliminar fuente de contagio</t>
  </si>
  <si>
    <t>Sustituir procedimiento por uno cerrado</t>
  </si>
  <si>
    <t>Barreras, ventilación, esterilización</t>
  </si>
  <si>
    <t>Bioseguridad, vacunación, vigilancia de salud</t>
  </si>
  <si>
    <t>Mascarilla, guantes, mandil, protección ocular</t>
  </si>
  <si>
    <t>Ley 29783 / Ley 31246 / D.S. 005-2012-TR</t>
  </si>
  <si>
    <t>Salud, Limpieza, Agroindustria</t>
  </si>
  <si>
    <t>Manipulación de residuos biocontaminados</t>
  </si>
  <si>
    <t>Contacto con fluidos / residuos sólidos hospitalarios</t>
  </si>
  <si>
    <t>Infección, hepatitis, VIH ocupacional</t>
  </si>
  <si>
    <t>Eliminar manipulación manual</t>
  </si>
  <si>
    <t>Sustituir por sistema de recojo cerrado</t>
  </si>
  <si>
    <t>Contenedores rígidos, ruta diferenciada</t>
  </si>
  <si>
    <t>Protocolo de segregación, capacitación, vacunación</t>
  </si>
  <si>
    <t>Guantes resistentes, mascarilla, lentes</t>
  </si>
  <si>
    <t>Salud, Limpieza</t>
  </si>
  <si>
    <t>Ergonómico</t>
  </si>
  <si>
    <t>Manipulación manual de cargas</t>
  </si>
  <si>
    <t>Sobreesfuerzo por levantamiento de cargas</t>
  </si>
  <si>
    <t>Lumbalgia, hernias, trastornos musculoesqueléticos</t>
  </si>
  <si>
    <t>Eliminar el levantamiento manual</t>
  </si>
  <si>
    <t>Sustituir por ayudas mecánicas (tecles, carretillas)</t>
  </si>
  <si>
    <t>Mesas de altura regulable, transportadores</t>
  </si>
  <si>
    <t>Límite de peso, rotación, pausas, capacitación ergonómica</t>
  </si>
  <si>
    <t>Faja lumbar (como apoyo, no control principal)</t>
  </si>
  <si>
    <t>Ley 29783 / R.M. 375-2008-TR</t>
  </si>
  <si>
    <t>Almacén, Construcción, Manufactura</t>
  </si>
  <si>
    <t>Posturas forzadas / estáticas</t>
  </si>
  <si>
    <t>Adopción de posturas inadecuadas prolongadas</t>
  </si>
  <si>
    <t>Trastornos musculoesqueléticos, fatiga</t>
  </si>
  <si>
    <t>Rediseñar la tarea</t>
  </si>
  <si>
    <t>Mobiliario ergonómico, ajustes de puesto</t>
  </si>
  <si>
    <t>Pausas activas, rotación, evaluación disergonómica</t>
  </si>
  <si>
    <t>Oficina, Manufactura, Salud</t>
  </si>
  <si>
    <t>Movimientos repetitivos</t>
  </si>
  <si>
    <t>Repetitividad de movimientos</t>
  </si>
  <si>
    <t>Síndrome del túnel carpiano, tendinitis</t>
  </si>
  <si>
    <t>Automatizar la tarea</t>
  </si>
  <si>
    <t>Sustituir herramienta por una ergonómica</t>
  </si>
  <si>
    <t>Rediseño del puesto, herramientas asistidas</t>
  </si>
  <si>
    <t>Rotación, pausas, capacitación</t>
  </si>
  <si>
    <t>Manufactura, Oficina, Agroindustria</t>
  </si>
  <si>
    <t>Uso prolongado de pantallas (PVD)</t>
  </si>
  <si>
    <t>Exposición prolongada a pantalla de visualización</t>
  </si>
  <si>
    <t>Fatiga visual, cervicalgia, estrés</t>
  </si>
  <si>
    <t>Monitor regulable, silla ergonómica, descansa-muñecas</t>
  </si>
  <si>
    <t>Regla 20-20-20, pausas, evaluación de puesto</t>
  </si>
  <si>
    <t>Oficina, Sector público, Comercio</t>
  </si>
  <si>
    <t>Psicosocial</t>
  </si>
  <si>
    <t>Carga mental / estrés laboral</t>
  </si>
  <si>
    <t>Exposición a alta carga y demanda laboral</t>
  </si>
  <si>
    <t>Estrés, burnout, ansiedad, errores</t>
  </si>
  <si>
    <t>Rediseñar carga de trabajo</t>
  </si>
  <si>
    <t>Distribución de tareas, evaluación psicosocial, apoyo</t>
  </si>
  <si>
    <t>Sector público, Salud, Oficina</t>
  </si>
  <si>
    <t>Hostigamiento / violencia laboral</t>
  </si>
  <si>
    <t>Exposición a acoso u hostilidad</t>
  </si>
  <si>
    <t>Daño psicológico, rotación, ausentismo</t>
  </si>
  <si>
    <t>Política de prevención, canal de denuncia, capacitación</t>
  </si>
  <si>
    <t>Ley 29783 / Ley 27942</t>
  </si>
  <si>
    <t>Todos los sectores</t>
  </si>
  <si>
    <t>Trabajo nocturno / turnos prolongados</t>
  </si>
  <si>
    <t>Exposición a jornadas y turnos atípicos</t>
  </si>
  <si>
    <t>Fatiga, trastornos del sueño, accidentes</t>
  </si>
  <si>
    <t>Reprogramar turnos</t>
  </si>
  <si>
    <t>Rotación equilibrada, descansos, vigilancia médica</t>
  </si>
  <si>
    <t>Salud, Transporte, Minería</t>
  </si>
  <si>
    <t>Mecánico</t>
  </si>
  <si>
    <t>Partes móviles de máquinas</t>
  </si>
  <si>
    <t>Atrapamiento / corte por partes móviles</t>
  </si>
  <si>
    <t>Amputación, fractura, heridas graves</t>
  </si>
  <si>
    <t>Eliminar exposición a la parte móvil</t>
  </si>
  <si>
    <t>Sustituir por máquina con resguardo integral</t>
  </si>
  <si>
    <t>Guardas, resguardos, enclavamientos, paro de emergencia</t>
  </si>
  <si>
    <t>Bloqueo y etiquetado (LOTO), capacitación, inspección</t>
  </si>
  <si>
    <t>Guantes, ropa ajustada</t>
  </si>
  <si>
    <t>Manufactura, Agroindustria, Construcción</t>
  </si>
  <si>
    <t>Manejo de herramientas manuales/eléctricas</t>
  </si>
  <si>
    <t>Corte / golpe con herramientas</t>
  </si>
  <si>
    <t>Heridas, cortes, contusiones</t>
  </si>
  <si>
    <t>Sustituir herramienta defectuosa</t>
  </si>
  <si>
    <t>Resguardos, herramientas certificadas</t>
  </si>
  <si>
    <t>Inspección preuso, capacitación, orden</t>
  </si>
  <si>
    <t>Guantes anticorte, lentes</t>
  </si>
  <si>
    <t>Construcción, Manufactura, Mantenimiento</t>
  </si>
  <si>
    <t>Caída de objetos / materiales</t>
  </si>
  <si>
    <t>Golpe por caída de objetos almacenados</t>
  </si>
  <si>
    <t>Contusiones, fracturas, TEC</t>
  </si>
  <si>
    <t>Estanterías ancladas, mallas, topes</t>
  </si>
  <si>
    <t>Apilamiento seguro, inspección, señalización</t>
  </si>
  <si>
    <t>Casco, calzado con puntera</t>
  </si>
  <si>
    <t>Almacén, Construcción, Comercio</t>
  </si>
  <si>
    <t>Eléctrico</t>
  </si>
  <si>
    <t>Contacto eléctrico directo</t>
  </si>
  <si>
    <t>Contacto con partes energizadas</t>
  </si>
  <si>
    <t>Electrocución, quemaduras, paro cardíaco</t>
  </si>
  <si>
    <t>Desenergizar (eliminar la fuente)</t>
  </si>
  <si>
    <t>Aislamiento, tableros con tapa, diferenciales</t>
  </si>
  <si>
    <t>Bloqueo y etiquetado, permiso, capacitación</t>
  </si>
  <si>
    <t>Guantes dieléctricos, calzado dieléctrico</t>
  </si>
  <si>
    <t>Ley 29783 / RESESATE / D.S. 005-2012-TR</t>
  </si>
  <si>
    <t>Mantenimiento, Construcción, Manufactura</t>
  </si>
  <si>
    <t>Contacto eléctrico indirecto</t>
  </si>
  <si>
    <t>Contacto con masas energizadas por falla</t>
  </si>
  <si>
    <t>Electrocución, quemaduras</t>
  </si>
  <si>
    <t>Puesta a tierra, llaves diferenciales, mantenimiento</t>
  </si>
  <si>
    <t>Inspección, pruebas de aislamiento, capacitación</t>
  </si>
  <si>
    <t>Calzado dieléctrico</t>
  </si>
  <si>
    <t>Ley 29783 / RESESATE</t>
  </si>
  <si>
    <t>Locativo</t>
  </si>
  <si>
    <t>Pisos resbaladizos / húmedos</t>
  </si>
  <si>
    <t>Caída de persona a nivel</t>
  </si>
  <si>
    <t>Contusiones, esguinces, fracturas</t>
  </si>
  <si>
    <t>Sustituir piso por antideslizante</t>
  </si>
  <si>
    <t>Drenaje, superficie antideslizante</t>
  </si>
  <si>
    <t>Limpieza programada, señalización, orden</t>
  </si>
  <si>
    <t>Calzado antideslizante</t>
  </si>
  <si>
    <t>Oficina, Comercio, Salud, Limpieza</t>
  </si>
  <si>
    <t>Orden y limpieza deficientes</t>
  </si>
  <si>
    <t>Tropiezo / golpe con objetos</t>
  </si>
  <si>
    <t>Caídas, contusiones, cortes</t>
  </si>
  <si>
    <t>Demarcación de áreas, almacenamiento adecuado</t>
  </si>
  <si>
    <t>Programa 5S, inspecciones, capacitación</t>
  </si>
  <si>
    <t>Escaleras y desniveles</t>
  </si>
  <si>
    <t>Caída por escaleras / desnivel</t>
  </si>
  <si>
    <t>Fracturas, TEC, lesiones graves</t>
  </si>
  <si>
    <t>Barandas, cintas antideslizantes, iluminación</t>
  </si>
  <si>
    <t>Señalización, mantenimiento, capacitación</t>
  </si>
  <si>
    <t>Calzado adecuado</t>
  </si>
  <si>
    <t>Incendio/Explosión</t>
  </si>
  <si>
    <t>Carga combustible / instalación eléctrica</t>
  </si>
  <si>
    <t>Incendio en instalaciones</t>
  </si>
  <si>
    <t>Quemaduras, asfixia, pérdidas materiales</t>
  </si>
  <si>
    <t>Eliminar acumulación de combustible</t>
  </si>
  <si>
    <t>Sustituir materiales por ignífugos</t>
  </si>
  <si>
    <t>Detección y alarma, extintores, rociadores</t>
  </si>
  <si>
    <t>Plan de emergencia, simulacros, brigadas, permisos de trabajo en caliente</t>
  </si>
  <si>
    <t>Atmósferas explosivas (gases/polvos)</t>
  </si>
  <si>
    <t>Explosión por atmósfera inflamable</t>
  </si>
  <si>
    <t>Quemaduras, traumatismos, fatalidad</t>
  </si>
  <si>
    <t>Eliminar la fuente inflamable</t>
  </si>
  <si>
    <t>Sustituir por proceso inerte</t>
  </si>
  <si>
    <t>Ventilación, equipos antiexplosión, control de ignición</t>
  </si>
  <si>
    <t>Mediciones de atmósfera, permisos, capacitación</t>
  </si>
  <si>
    <t>Ropa antiestática</t>
  </si>
  <si>
    <t>Hidrocarburos, Minería, Manufactura</t>
  </si>
  <si>
    <t>Tránsito/Transporte</t>
  </si>
  <si>
    <t>Conducción de vehículos</t>
  </si>
  <si>
    <t>Accidente de tránsito</t>
  </si>
  <si>
    <t>Politraumatismos, fatalidad</t>
  </si>
  <si>
    <t>Mantenimiento vehicular, sistemas de seguridad</t>
  </si>
  <si>
    <t>Plan de manejo defensivo, control de fatiga, licencias, descansos</t>
  </si>
  <si>
    <t>Cinturón de seguridad</t>
  </si>
  <si>
    <t>Transporte, Comercio, Sector público</t>
  </si>
  <si>
    <t>Operación de montacargas / equipos</t>
  </si>
  <si>
    <t>Atropello / volcadura por equipo móvil</t>
  </si>
  <si>
    <t>Aplastamiento, fracturas, fatalidad</t>
  </si>
  <si>
    <t>Sustituir por transporte automatizado</t>
  </si>
  <si>
    <t>Vías segregadas, alarmas de retroceso, espejos</t>
  </si>
  <si>
    <t>Operadores certificados, señalización, velocidad</t>
  </si>
  <si>
    <t>Casco, chaleco reflectivo, calzado</t>
  </si>
  <si>
    <t>Almacén, Manufactura, Construcción</t>
  </si>
  <si>
    <t>Altura</t>
  </si>
  <si>
    <t>Trabajo en altura (&gt;1.8 m)</t>
  </si>
  <si>
    <t>Caída de persona a distinto nivel</t>
  </si>
  <si>
    <t>Fracturas, invalidez, fatalidad</t>
  </si>
  <si>
    <t>Eliminar el trabajo en altura</t>
  </si>
  <si>
    <t>Sustituir por trabajo a nivel del piso</t>
  </si>
  <si>
    <t>Barandas, plataformas, redes, líneas de vida, puntos de anclaje certificados</t>
  </si>
  <si>
    <t>Permiso de trabajo en altura, capacitación, inspección preuso</t>
  </si>
  <si>
    <t>Arnés de cuerpo entero con doble línea</t>
  </si>
  <si>
    <t>Ley 29783 / D.S. 005-2012-TR / G.050</t>
  </si>
  <si>
    <t>Construcción, Mantenimiento, Telecom</t>
  </si>
  <si>
    <t>Uso de andamios / escaleras</t>
  </si>
  <si>
    <t>Caída desde andamio o escalera</t>
  </si>
  <si>
    <t>Fracturas, TEC, fatalidad</t>
  </si>
  <si>
    <t>Sustituir andamio por plataforma elevadora</t>
  </si>
  <si>
    <t>Andamio certificado, arriostramiento, barandas</t>
  </si>
  <si>
    <t>Inspección, montaje por personal competente, permiso</t>
  </si>
  <si>
    <t>Arnés con línea de vida</t>
  </si>
  <si>
    <t>Ley 29783 / G.050 / D.S. 011-2019-TR</t>
  </si>
  <si>
    <t>Construcción, Mantenimiento</t>
  </si>
  <si>
    <t>Espacios confinados</t>
  </si>
  <si>
    <t>Ingreso a espacio confinado</t>
  </si>
  <si>
    <t>Asfixia / intoxicación en espacio confinado</t>
  </si>
  <si>
    <t>Asfixia, intoxicación, fatalidad</t>
  </si>
  <si>
    <t>Eliminar la necesidad de ingreso</t>
  </si>
  <si>
    <t>Realizar la tarea desde el exterior</t>
  </si>
  <si>
    <t>Ventilación forzada, monitoreo continuo de gases, rescate</t>
  </si>
  <si>
    <t>Permiso de ingreso, vigía, capacitación, procedimiento</t>
  </si>
  <si>
    <t>Equipo de respiración autónoma, arnés de rescate</t>
  </si>
  <si>
    <t>Minería, Hidrocarburos, Saneamiento</t>
  </si>
  <si>
    <t>MATRIZ IPERC — IDENTIFICACIÓN DE PELIGROS, EVALUACIÓN DE RIESGOS Y MEDIDAS DE CONTROL</t>
  </si>
  <si>
    <t>Sector:</t>
  </si>
  <si>
    <t>Las columnas se etiquetan por nivel mínimo. En BÁSICO complete solo las columnas azules.</t>
  </si>
  <si>
    <t>N°</t>
  </si>
  <si>
    <t>Sede / Local</t>
  </si>
  <si>
    <t>Área</t>
  </si>
  <si>
    <t>Proceso</t>
  </si>
  <si>
    <t>Puesto de trabajo</t>
  </si>
  <si>
    <t>Actividad / Tarea</t>
  </si>
  <si>
    <t>Tipo tarea
(Rut/No Rut)</t>
  </si>
  <si>
    <t>N° expuestos</t>
  </si>
  <si>
    <t>Controles existentes</t>
  </si>
  <si>
    <t>A
Pers.</t>
  </si>
  <si>
    <t>B
Proc.</t>
  </si>
  <si>
    <t>C
Capac.</t>
  </si>
  <si>
    <t>D
Expos.</t>
  </si>
  <si>
    <t>Prob.
(A+B+C+D)</t>
  </si>
  <si>
    <t>Sever.</t>
  </si>
  <si>
    <t>Riesgo
INICIAL</t>
  </si>
  <si>
    <t>Interpretación
inicial</t>
  </si>
  <si>
    <t>¿Signif.?</t>
  </si>
  <si>
    <t>Jerarquía aplicada</t>
  </si>
  <si>
    <t>Medidas de control propuestas</t>
  </si>
  <si>
    <t>B res.</t>
  </si>
  <si>
    <t>C res.</t>
  </si>
  <si>
    <t>Prob.
residual</t>
  </si>
  <si>
    <t>Sever.
res.</t>
  </si>
  <si>
    <t>Riesgo
RESIDUAL</t>
  </si>
  <si>
    <t>Interpretación
residual</t>
  </si>
  <si>
    <t>Responsable</t>
  </si>
  <si>
    <t>Plazo</t>
  </si>
  <si>
    <t>Requisito legal
(norma / art.)</t>
  </si>
  <si>
    <t>Evidencia requerida</t>
  </si>
  <si>
    <t>Estado</t>
  </si>
  <si>
    <t>Versión / Fecha rev.</t>
  </si>
  <si>
    <t>Participación
(Comité/Trabajador)</t>
  </si>
  <si>
    <t>Básico</t>
  </si>
  <si>
    <t>Medio</t>
  </si>
  <si>
    <t>Avanzado</t>
  </si>
  <si>
    <t>Súper Prof.</t>
  </si>
  <si>
    <t>Sede Central</t>
  </si>
  <si>
    <t>Administración</t>
  </si>
  <si>
    <t>Asistente administrativo</t>
  </si>
  <si>
    <t>Digitación y atención en PVD</t>
  </si>
  <si>
    <t>Rutinaria</t>
  </si>
  <si>
    <t>Sillas estándar, descansos informales</t>
  </si>
  <si>
    <t>Administrativo</t>
  </si>
  <si>
    <t>Silla ergonómica, regla 20-20-20, pausas activas, evaluación de puesto</t>
  </si>
  <si>
    <t>Jefe de RR.HH.</t>
  </si>
  <si>
    <t>30 días</t>
  </si>
  <si>
    <t>Ley 29783 Art.50 / R.M.375-2008-TR</t>
  </si>
  <si>
    <t>Evaluación disergonómica, registro de pausas</t>
  </si>
  <si>
    <t>En proceso</t>
  </si>
  <si>
    <t>v1.0 - 2026</t>
  </si>
  <si>
    <t>Consulta a Comité SST</t>
  </si>
  <si>
    <t>Limpieza</t>
  </si>
  <si>
    <t>Operario de limpieza</t>
  </si>
  <si>
    <t>Limpieza de pisos</t>
  </si>
  <si>
    <t>Señalización ocasional</t>
  </si>
  <si>
    <t>Señalización piso mojado, calzado antideslizante, limpieza programada</t>
  </si>
  <si>
    <t>Supervisor de servicios</t>
  </si>
  <si>
    <t>15 días</t>
  </si>
  <si>
    <t>Ley 29783 Art.50 / D.S.005-2012-TR</t>
  </si>
  <si>
    <t>Programa de limpieza, entrega de EPP</t>
  </si>
  <si>
    <t>Implementado</t>
  </si>
  <si>
    <t>Capacitación registrada</t>
  </si>
  <si>
    <t>Almacén Lima</t>
  </si>
  <si>
    <t>Despacho</t>
  </si>
  <si>
    <t>Operario de almacén</t>
  </si>
  <si>
    <t>Carga manual de cajas</t>
  </si>
  <si>
    <t>Capacitación básica, faja lumbar</t>
  </si>
  <si>
    <t>Ingeniería</t>
  </si>
  <si>
    <t>Ayudas mecánicas, límite de peso por caja, rotación, capacitación ergonómica</t>
  </si>
  <si>
    <t>Jefe de almacén</t>
  </si>
  <si>
    <t>45 días</t>
  </si>
  <si>
    <t>Ley 29783 Art.21 / R.M.375-2008-TR</t>
  </si>
  <si>
    <t>IPERC, capacitación, evaluación médica ocupacional</t>
  </si>
  <si>
    <t>Pendiente</t>
  </si>
  <si>
    <t>Encuesta a trabajadores</t>
  </si>
  <si>
    <t>Planta</t>
  </si>
  <si>
    <t>Producción</t>
  </si>
  <si>
    <t>Operario de máquina</t>
  </si>
  <si>
    <t>Operación de máquina con partes móviles</t>
  </si>
  <si>
    <t>Guardas parciales</t>
  </si>
  <si>
    <t>Resguardos con enclavamiento, bloqueo y etiquetado (LOTO), capacitación, inspección</t>
  </si>
  <si>
    <t>Supervisor de planta</t>
  </si>
  <si>
    <t>Ley 29783 Art.21 / D.S.005-2012-TR</t>
  </si>
  <si>
    <t>IPERC, registro LOTO, inspección de guardas</t>
  </si>
  <si>
    <t>Acta de Comité SST</t>
  </si>
  <si>
    <t>Obra Norte</t>
  </si>
  <si>
    <t>Estructuras</t>
  </si>
  <si>
    <t>Operario de construcción</t>
  </si>
  <si>
    <t>Trabajo en altura en encofrado</t>
  </si>
  <si>
    <t>No rutinaria</t>
  </si>
  <si>
    <t>Arnés sin inspección, sin línea de vida</t>
  </si>
  <si>
    <t>Líneas de vida y anclajes certificados, barandas, permiso de trabajo en altura, inspección preuso</t>
  </si>
  <si>
    <t>Ingeniero residente</t>
  </si>
  <si>
    <t>Inmediato</t>
  </si>
  <si>
    <t>Ley 29783 / G.050 / D.S.011-2019-TR</t>
  </si>
  <si>
    <t>Permiso de altura, ATS, inspección de arnés, capacitación</t>
  </si>
  <si>
    <t>Charla preuso firmada</t>
  </si>
  <si>
    <t>Centro de salud</t>
  </si>
  <si>
    <t>Enfermería</t>
  </si>
  <si>
    <t>Técnico de enfermería</t>
  </si>
  <si>
    <t>Manejo de residuos biocontaminados</t>
  </si>
  <si>
    <t>Guantes simples</t>
  </si>
  <si>
    <t>Contenedores rígidos, ruta diferenciada, vacunación, protocolo de segregación, EPP completo</t>
  </si>
  <si>
    <t>Jefe de enfermería</t>
  </si>
  <si>
    <t>Ley 29783 / Ley 31246 / D.S.005-2012-TR</t>
  </si>
  <si>
    <t>Plan de bioseguridad, carné de vacunación, capacitación</t>
  </si>
  <si>
    <t>Mantenimiento</t>
  </si>
  <si>
    <t>Técnico electricista</t>
  </si>
  <si>
    <t>Mantenimiento de tablero eléctrico</t>
  </si>
  <si>
    <t>Herramientas aisladas</t>
  </si>
  <si>
    <t>Desenergizar, bloqueo y etiquetado, permiso de trabajo eléctrico, EPP dieléctrico, capacitación</t>
  </si>
  <si>
    <t>Jefe de mantenimiento</t>
  </si>
  <si>
    <t>20 días</t>
  </si>
  <si>
    <t>Permiso eléctrico, registro LOTO, prueba de ausencia de tensión</t>
  </si>
  <si>
    <t>Procedimiento firmado</t>
  </si>
  <si>
    <t>Transporte</t>
  </si>
  <si>
    <t>Distribución</t>
  </si>
  <si>
    <t>Conductor</t>
  </si>
  <si>
    <t>Conducción de vehículo de reparto</t>
  </si>
  <si>
    <t>Mantenimiento básico</t>
  </si>
  <si>
    <t>Plan de manejo defensivo, control de fatiga y horas, mantenimiento preventivo, inspección preuso</t>
  </si>
  <si>
    <t>Jefe de flota</t>
  </si>
  <si>
    <t>Registro de mantenimiento, control de fatiga, licencias</t>
  </si>
  <si>
    <t>Capacitación de manejo defensivo</t>
  </si>
  <si>
    <t>MOTOR NORMATIVO — BASE LEGAL ESTRUCTURADA DE SST (PERÚ)</t>
  </si>
  <si>
    <t>ID norma</t>
  </si>
  <si>
    <t>Norma</t>
  </si>
  <si>
    <t>Artículo</t>
  </si>
  <si>
    <t>Tema</t>
  </si>
  <si>
    <t>Obligación concreta</t>
  </si>
  <si>
    <t>Aplica a</t>
  </si>
  <si>
    <t>Evidencia exigible</t>
  </si>
  <si>
    <t>Fuente oficial</t>
  </si>
  <si>
    <t>LEY_29783</t>
  </si>
  <si>
    <t>Ley N.° 29783 - Ley de SST</t>
  </si>
  <si>
    <t>Art. I (Título Prelim.)</t>
  </si>
  <si>
    <t>Prevención</t>
  </si>
  <si>
    <t>El empleador garantiza, en el centro de trabajo, el establecimiento de los medios y condiciones que protejan la vida, la salud y el bienestar de los trabajadores.</t>
  </si>
  <si>
    <t>IPERC, controles, registros</t>
  </si>
  <si>
    <t>Vigente</t>
  </si>
  <si>
    <t>https://www.gob.pe/institucion/congreso-de-la-republica/normas-legales/462576-29783</t>
  </si>
  <si>
    <t>Art. 19</t>
  </si>
  <si>
    <t>Participación</t>
  </si>
  <si>
    <t>La participación de los trabajadores es esencial en el Sistema de Gestión de SST.</t>
  </si>
  <si>
    <t>Actas de comité, consultas, encuestas</t>
  </si>
  <si>
    <t>Art. 21</t>
  </si>
  <si>
    <t>Jerarquía de control</t>
  </si>
  <si>
    <t>Las medidas de prevención se aplican en el siguiente orden: eliminación, tratamiento/control en la fuente, control administrativo y EPP.</t>
  </si>
  <si>
    <t>IPERC con jerarquía de controles</t>
  </si>
  <si>
    <t>Art. 50</t>
  </si>
  <si>
    <t>Medidas de prevención</t>
  </si>
  <si>
    <t>El empleador aplica medidas de prevención: gestiona riesgos, identifica peligros y evalúa riesgos.</t>
  </si>
  <si>
    <t>IPERC, plan anual, capacitaciones</t>
  </si>
  <si>
    <t>Art. 57</t>
  </si>
  <si>
    <t>Actualización de la evaluación</t>
  </si>
  <si>
    <t>El empleador actualiza la evaluación de riesgos al menos una vez al año o cuando cambien las condiciones de trabajo.</t>
  </si>
  <si>
    <t>IPERC con control de versión y fecha</t>
  </si>
  <si>
    <t>DS_005_2012</t>
  </si>
  <si>
    <t>D.S. N.° 005-2012-TR - Reglamento</t>
  </si>
  <si>
    <t>Art. 32</t>
  </si>
  <si>
    <t>Documentación del SGSST</t>
  </si>
  <si>
    <t>La documentación del SGSST debe incluir IPERC, mapa de riesgos, planificación y programa anual de SST.</t>
  </si>
  <si>
    <t>IPERC, mapa de riesgos, programa anual</t>
  </si>
  <si>
    <t>https://cdn.www.gob.pe/uploads/document/file/571762/Ley_N__29783.pdf</t>
  </si>
  <si>
    <t>Art. 33</t>
  </si>
  <si>
    <t>Registros obligatorios</t>
  </si>
  <si>
    <t>Registros: accidentes, incidentes peligrosos, enfermedades ocupacionales, monitoreo, inspecciones, capacitaciones, EPP.</t>
  </si>
  <si>
    <t>Registros obligatorios del SGSST</t>
  </si>
  <si>
    <t>Art. 77</t>
  </si>
  <si>
    <t>Evaluación inicial de riesgos</t>
  </si>
  <si>
    <t>La evaluación inicial se realiza por puesto de trabajo, con personal competente y consulta a los trabajadores.</t>
  </si>
  <si>
    <t>IPERC por puesto, registro de consulta</t>
  </si>
  <si>
    <t>Vigente (mod. D.S. 002-2020-TR)</t>
  </si>
  <si>
    <t>RM_050_2013</t>
  </si>
  <si>
    <t>R.M. N.° 050-2013-TR</t>
  </si>
  <si>
    <t>Anexo 3</t>
  </si>
  <si>
    <t>Metodología IPERC</t>
  </si>
  <si>
    <t>Aprueba formatos referenciales e información mínima de registros; incluye método de evaluación probabilidad x severidad.</t>
  </si>
  <si>
    <t>Matriz IPERC, formatos de registro</t>
  </si>
  <si>
    <t>https://www.gob.pe/institucion/mtpe/normas-legales/288031-050-2013-tr</t>
  </si>
  <si>
    <t>LEY_30222</t>
  </si>
  <si>
    <t>Ley N.° 30222</t>
  </si>
  <si>
    <t>Única</t>
  </si>
  <si>
    <t>Modificatoria</t>
  </si>
  <si>
    <t>Modifica diversos artículos de la Ley 29783 (enfoque preventivo y sancionador).</t>
  </si>
  <si>
    <t>Cumplimiento del SGSST actualizado</t>
  </si>
  <si>
    <t>https://www.gob.pe/institucion/minedu/normas-legales/118483-30222</t>
  </si>
  <si>
    <t>LEY_31246</t>
  </si>
  <si>
    <t>Ley N.° 31246</t>
  </si>
  <si>
    <t>Riesgo epidemiológico</t>
  </si>
  <si>
    <t>Modifica la Ley 29783 para garantizar SST frente a riesgos epidemiológicos y sanitarios.</t>
  </si>
  <si>
    <t>Público y privado</t>
  </si>
  <si>
    <t>Plan frente a riesgo biológico/epidemiológico</t>
  </si>
  <si>
    <t>https://sinia.minam.gob.pe/normas/ley-que-modifica-ley-29783-ley-seguridad-salud-trabajo-garantizar</t>
  </si>
  <si>
    <t>RM_375_2008</t>
  </si>
  <si>
    <t>R.M. N.° 375-2008-TR</t>
  </si>
  <si>
    <t>Norma básica</t>
  </si>
  <si>
    <t>Ergonomía</t>
  </si>
  <si>
    <t>Norma Básica de Ergonomía y de Procedimiento de Evaluación de Riesgo Disergonómico.</t>
  </si>
  <si>
    <t>Evaluación disergonómica, rediseño de puesto</t>
  </si>
  <si>
    <t>https://www.gob.pe/institucion/mtpe/normas-legales</t>
  </si>
  <si>
    <t>DS_011_2019</t>
  </si>
  <si>
    <t>D.S. N.° 011-2019-TR</t>
  </si>
  <si>
    <t>Reglamento</t>
  </si>
  <si>
    <t>Sector construcción</t>
  </si>
  <si>
    <t>Reglamento de Seguridad y Salud en el Trabajo para el Sector Construcción.</t>
  </si>
  <si>
    <t>Construcción</t>
  </si>
  <si>
    <t>IPERC, PSST de obra, permisos</t>
  </si>
  <si>
    <t>https://www.gob.pe/institucion/mtpe/normas-legales/284237-011-2019-tr</t>
  </si>
  <si>
    <t>G050</t>
  </si>
  <si>
    <t>Norma G.050 (RNE)</t>
  </si>
  <si>
    <t>Norma técnica</t>
  </si>
  <si>
    <t>Seguridad en construcción</t>
  </si>
  <si>
    <t>Seguridad durante la construcción: trabajo en altura, andamios, excavaciones, EPP.</t>
  </si>
  <si>
    <t>Procedimientos, permisos, ATS</t>
  </si>
  <si>
    <t>DS_024_2016</t>
  </si>
  <si>
    <t>D.S. N.° 024-2016-EM</t>
  </si>
  <si>
    <t>Sector minería</t>
  </si>
  <si>
    <t>Reglamento de Seguridad y Salud Ocupacional en Minería (y modificatorias).</t>
  </si>
  <si>
    <t>Minería</t>
  </si>
  <si>
    <t>IPERC, PETS, permisos, monitoreo</t>
  </si>
  <si>
    <t>https://www.gob.pe/institucion/minem/normas-legales</t>
  </si>
  <si>
    <t>DS_043_2007</t>
  </si>
  <si>
    <t>D.S. N.° 043-2007-EM</t>
  </si>
  <si>
    <t>Hidrocarburos</t>
  </si>
  <si>
    <t>Reglamento de Seguridad para las Actividades de Hidrocarburos.</t>
  </si>
  <si>
    <t>IPERC, permisos, atmósferas explosivas</t>
  </si>
  <si>
    <t>SERVIR_SST</t>
  </si>
  <si>
    <t>Lineamientos SERVIR - SST sector público</t>
  </si>
  <si>
    <t>Lineamiento</t>
  </si>
  <si>
    <t>Sector público</t>
  </si>
  <si>
    <t>La SST en el sector público se rige por la Ley 29783 y su reglamento; la ORH es responsable del SGSST.</t>
  </si>
  <si>
    <t>SGSST en la entidad, comité, plan anual</t>
  </si>
  <si>
    <t>https://www.gob.pe/institucion/servir/campañas/14946</t>
  </si>
  <si>
    <t>SUNAFIL_IPERC</t>
  </si>
  <si>
    <t>Manual IPERC SUNAFIL / ELSSA 2.0</t>
  </si>
  <si>
    <t>Guía técnica</t>
  </si>
  <si>
    <t>IPERC</t>
  </si>
  <si>
    <t>Guía técnica referencial para identificación de peligros, evaluación de riesgos y determinación de controles.</t>
  </si>
  <si>
    <t>Matriz IPERC sustentada técnicamente</t>
  </si>
  <si>
    <t>Vigente (referencial)</t>
  </si>
  <si>
    <t>https://www.gob.pe/institucion/sunafil/campañas/125953</t>
  </si>
  <si>
    <t>Regla del motor: la matriz no debe citar una norma que no exista en esta base. Si un control no tiene sustento cargado, marcar el campo legal como «requiere validación legal».</t>
  </si>
  <si>
    <t>PLAN DE ACCIÓN — CONTROLES, RESPONSABLES Y PLAZOS</t>
  </si>
  <si>
    <t>Se alimenta automáticamente de la Matriz IPERC. Prioriza los riesgos significativos (≥ Moderado).</t>
  </si>
  <si>
    <t>Riesgo</t>
  </si>
  <si>
    <t>Medida de control propuesta</t>
  </si>
  <si>
    <t>Jerarquía</t>
  </si>
  <si>
    <t>Riesgo inicial</t>
  </si>
  <si>
    <t>MAPA DE RIESGOS — RESUMEN POR ÁREA</t>
  </si>
  <si>
    <t>Escriba las áreas evaluadas; el conteo por nivel de riesgo (residual) se calcula desde la Matriz IPERC.</t>
  </si>
  <si>
    <t>Trivial</t>
  </si>
  <si>
    <t>Tolerable</t>
  </si>
  <si>
    <t>Moderado</t>
  </si>
  <si>
    <t>Importante</t>
  </si>
  <si>
    <t>Intolerable</t>
  </si>
  <si>
    <t>Total</t>
  </si>
  <si>
    <t>TOTAL</t>
  </si>
  <si>
    <t>DASHBOARD DE GESTIÓN IPERC — INDICADORES Y ALERTAS</t>
  </si>
  <si>
    <t>INDICADORES CLAVE</t>
  </si>
  <si>
    <t>CUMPLIMIENTO</t>
  </si>
  <si>
    <t>Total de riesgos evaluados</t>
  </si>
  <si>
    <t>Controles implementados</t>
  </si>
  <si>
    <t>Riesgos significativos (≥ Moderado)</t>
  </si>
  <si>
    <t>Controles en proceso</t>
  </si>
  <si>
    <t>Riesgos críticos (Importante+Intolerable) inicial</t>
  </si>
  <si>
    <t>Total con estado</t>
  </si>
  <si>
    <t>Riesgos críticos residuales</t>
  </si>
  <si>
    <t>% de implementación</t>
  </si>
  <si>
    <t>Controles vencidos</t>
  </si>
  <si>
    <t>% reducción de riesgo crítico</t>
  </si>
  <si>
    <t>Controles pendientes</t>
  </si>
  <si>
    <t>DISTRIBUCIÓN POR NIVEL DE RIESGO</t>
  </si>
  <si>
    <t>Nivel</t>
  </si>
  <si>
    <t>Residual</t>
  </si>
  <si>
    <t>ALERTAS</t>
  </si>
  <si>
    <t>Riesgos intolerables sin reducir (residual)</t>
  </si>
  <si>
    <t>Riesgos sin control propuesto</t>
  </si>
  <si>
    <t>Generado por Ing. Pierre R. · peru.labs.pe@gmail.com · Documento referencial conforme a la Ley N.° 29783 y su Reglamento.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</si>
</sst>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1" x14ac:knownFonts="1">
    <font>
      <sz val="11"/>
      <color theme="1"/>
      <name val="Calibri"/>
      <family val="2"/>
      <charset val="1"/>
    </font>
    <font>
      <sz val="1"/>
      <color rgb="FFFFFFFF"/>
      <name val="Arial"/>
      <charset val="1"/>
    </font>
    <font>
      <b/>
      <sz val="22"/>
      <color rgb="FFFFFFFF"/>
      <name val="Arial"/>
      <charset val="1"/>
    </font>
    <font>
      <i/>
      <sz val="12"/>
      <color rgb="FFFFFFFF"/>
      <name val="Arial"/>
      <charset val="1"/>
    </font>
    <font>
      <sz val="10"/>
      <color rgb="FFFFFFFF"/>
      <name val="Arial"/>
      <charset val="1"/>
    </font>
    <font>
      <b/>
      <sz val="12"/>
      <color rgb="FF0F2A43"/>
      <name val="Arial"/>
      <charset val="1"/>
    </font>
    <font>
      <b/>
      <sz val="11"/>
      <color rgb="FF000000"/>
      <name val="Arial"/>
      <charset val="1"/>
    </font>
    <font>
      <b/>
      <sz val="12"/>
      <color rgb="FF0000FF"/>
      <name val="Arial"/>
      <charset val="1"/>
    </font>
    <font>
      <b/>
      <sz val="11"/>
      <color rgb="FF0000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000000"/>
      <name val="Arial"/>
      <charset val="1"/>
    </font>
    <font>
      <sz val="10"/>
      <name val="Arial"/>
      <family val="2"/>
    </font>
    <font>
      <sz val="1"/>
      <color rgb="FFFFFFFF"/>
      <name val="Cambria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6100"/>
      <name val="Arial"/>
      <charset val="1"/>
    </font>
    <font>
      <sz val="9"/>
      <color rgb="FF9C6500"/>
      <name val="Arial"/>
      <charset val="1"/>
    </font>
    <font>
      <sz val="9"/>
      <color rgb="FF000000"/>
      <name val="Arial"/>
      <charset val="1"/>
    </font>
    <font>
      <sz val="10"/>
      <color rgb="FF0000FF"/>
      <name val="Arial"/>
      <charset val="1"/>
    </font>
    <font>
      <b/>
      <sz val="13"/>
      <color rgb="FFFFFFFF"/>
      <name val="Arial"/>
      <charset val="1"/>
    </font>
    <font>
      <b/>
      <sz val="11"/>
      <color rgb="FF0F2A43"/>
      <name val="Arial"/>
      <charset val="1"/>
    </font>
    <font>
      <b/>
      <sz val="10"/>
      <color rgb="FF006100"/>
      <name val="Arial"/>
      <charset val="1"/>
    </font>
    <font>
      <b/>
      <sz val="10"/>
      <color rgb="FF9C6500"/>
      <name val="Arial"/>
      <charset val="1"/>
    </font>
    <font>
      <b/>
      <sz val="10"/>
      <color rgb="FFC55A11"/>
      <name val="Arial"/>
      <charset val="1"/>
    </font>
    <font>
      <sz val="9"/>
      <color rgb="FFC55A11"/>
      <name val="Arial"/>
      <charset val="1"/>
    </font>
    <font>
      <b/>
      <sz val="10"/>
      <color rgb="FF9C0006"/>
      <name val="Arial"/>
      <charset val="1"/>
    </font>
    <font>
      <sz val="9"/>
      <color rgb="FF9C0006"/>
      <name val="Arial"/>
      <charset val="1"/>
    </font>
    <font>
      <b/>
      <sz val="9"/>
      <color rgb="FFFFFFFF"/>
      <name val="Arial"/>
      <charset val="1"/>
    </font>
    <font>
      <b/>
      <sz val="8.5"/>
      <color rgb="FF000000"/>
      <name val="Arial"/>
      <charset val="1"/>
    </font>
    <font>
      <sz val="8.5"/>
      <color rgb="FF000000"/>
      <name val="Arial"/>
      <charset val="1"/>
    </font>
    <font>
      <b/>
      <sz val="10"/>
      <color rgb="FF0000FF"/>
      <name val="Arial"/>
      <charset val="1"/>
    </font>
    <font>
      <b/>
      <sz val="8.5"/>
      <color rgb="FFFFFFFF"/>
      <name val="Arial"/>
      <charset val="1"/>
    </font>
    <font>
      <b/>
      <sz val="7"/>
      <color rgb="FFFFFFFF"/>
      <name val="Arial"/>
      <charset val="1"/>
    </font>
    <font>
      <sz val="8.5"/>
      <name val="Arial"/>
      <charset val="1"/>
    </font>
    <font>
      <sz val="8.5"/>
      <color rgb="FF0000FF"/>
      <name val="Arial"/>
      <charset val="1"/>
    </font>
    <font>
      <sz val="9"/>
      <color rgb="FF0000FF"/>
      <name val="Arial"/>
      <charset val="1"/>
    </font>
    <font>
      <b/>
      <sz val="12"/>
      <color rgb="FFC00000"/>
      <name val="Arial"/>
      <charset val="1"/>
    </font>
    <font>
      <i/>
      <sz val="8"/>
      <color rgb="FF80808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0F2A43"/>
        <bgColor rgb="FF333333"/>
      </patternFill>
    </fill>
    <fill>
      <patternFill patternType="solid">
        <fgColor rgb="FF1F4E79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FFEB9C"/>
        <bgColor rgb="FFFCE4D6"/>
      </patternFill>
    </fill>
    <fill>
      <patternFill patternType="solid">
        <fgColor rgb="FFDCE6F1"/>
        <bgColor rgb="FFEAF1F8"/>
      </patternFill>
    </fill>
    <fill>
      <patternFill patternType="solid">
        <fgColor rgb="FFFFFFFF"/>
        <bgColor rgb="FFF2F2F2"/>
      </patternFill>
    </fill>
    <fill>
      <patternFill patternType="solid">
        <fgColor rgb="FFEAF1F8"/>
        <bgColor rgb="FFF2F2F2"/>
      </patternFill>
    </fill>
    <fill>
      <patternFill patternType="solid">
        <fgColor rgb="FFF2F2F2"/>
        <bgColor rgb="FFEAF1F8"/>
      </patternFill>
    </fill>
    <fill>
      <patternFill patternType="solid">
        <fgColor rgb="FFC6EFCE"/>
        <bgColor rgb="FFDCE6F1"/>
      </patternFill>
    </fill>
    <fill>
      <patternFill patternType="solid">
        <fgColor rgb="FFFCE4D6"/>
        <bgColor rgb="FFF2F2F2"/>
      </patternFill>
    </fill>
    <fill>
      <patternFill patternType="solid">
        <fgColor rgb="FFFFC7CE"/>
        <bgColor rgb="FFFCE4D6"/>
      </patternFill>
    </fill>
    <fill>
      <patternFill patternType="solid">
        <fgColor rgb="FF548235"/>
        <bgColor rgb="FF808080"/>
      </patternFill>
    </fill>
    <fill>
      <patternFill patternType="solid">
        <fgColor rgb="FFBF8F00"/>
        <bgColor rgb="FF9C6500"/>
      </patternFill>
    </fill>
    <fill>
      <patternFill patternType="solid">
        <fgColor rgb="FF7030A0"/>
        <bgColor rgb="FF800080"/>
      </patternFill>
    </fill>
    <fill>
      <patternFill patternType="solid">
        <fgColor rgb="FFC00000"/>
        <bgColor rgb="FF9C000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0" fillId="9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0" fontId="10" fillId="8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right" vertical="center"/>
    </xf>
    <xf numFmtId="0" fontId="15" fillId="0" borderId="0" xfId="0" applyFont="1"/>
    <xf numFmtId="0" fontId="17" fillId="3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left" vertical="center"/>
    </xf>
    <xf numFmtId="0" fontId="25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left" vertical="center"/>
    </xf>
    <xf numFmtId="0" fontId="26" fillId="11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left" vertical="center"/>
    </xf>
    <xf numFmtId="0" fontId="28" fillId="12" borderId="1" xfId="0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left" vertical="center"/>
    </xf>
    <xf numFmtId="0" fontId="30" fillId="3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2" fillId="7" borderId="1" xfId="0" applyFont="1" applyFill="1" applyBorder="1" applyAlignment="1">
      <alignment horizontal="left" vertical="center" wrapText="1"/>
    </xf>
    <xf numFmtId="0" fontId="32" fillId="8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right" vertical="center"/>
    </xf>
    <xf numFmtId="0" fontId="34" fillId="3" borderId="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/>
    </xf>
    <xf numFmtId="0" fontId="35" fillId="13" borderId="1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0" fontId="35" fillId="15" borderId="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6" fillId="8" borderId="1" xfId="0" applyFont="1" applyFill="1" applyBorder="1" applyAlignment="1">
      <alignment horizontal="center" vertical="center"/>
    </xf>
    <xf numFmtId="0" fontId="37" fillId="8" borderId="1" xfId="0" applyFont="1" applyFill="1" applyBorder="1" applyAlignment="1">
      <alignment horizontal="left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left" vertical="center" wrapText="1"/>
    </xf>
    <xf numFmtId="0" fontId="36" fillId="8" borderId="1" xfId="0" applyFont="1" applyFill="1" applyBorder="1" applyAlignment="1">
      <alignment horizontal="left" vertical="center" wrapText="1"/>
    </xf>
    <xf numFmtId="0" fontId="36" fillId="7" borderId="1" xfId="0" applyFont="1" applyFill="1" applyBorder="1" applyAlignment="1">
      <alignment horizontal="center" vertical="center" wrapText="1"/>
    </xf>
    <xf numFmtId="0" fontId="36" fillId="8" borderId="1" xfId="0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38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39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27" fillId="11" borderId="1" xfId="0" applyFont="1" applyFill="1" applyBorder="1" applyAlignment="1">
      <alignment horizontal="left" vertical="center" wrapText="1"/>
    </xf>
    <xf numFmtId="0" fontId="29" fillId="12" borderId="1" xfId="0" applyFont="1" applyFill="1" applyBorder="1" applyAlignment="1">
      <alignment horizontal="left" vertical="center" wrapText="1"/>
    </xf>
    <xf numFmtId="0" fontId="33" fillId="7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0" fontId="40" fillId="0" borderId="1" xfId="0" applyFont="1" applyBorder="1" applyAlignment="1">
      <alignment horizontal="left" vertical="center"/>
    </xf>
  </cellXfs>
  <cellStyles count="1">
    <cellStyle name="Normal" xfId="0" builtinId="0"/>
  </cellStyles>
  <dxfs count="28"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C55A11"/>
      </font>
      <fill>
        <patternFill>
          <bgColor rgb="FFFCE4D6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C55A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C55A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C55A11"/>
      </font>
      <fill>
        <patternFill>
          <bgColor rgb="FFFCE4D6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C55A11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C55A11"/>
      </font>
      <fill>
        <patternFill>
          <bgColor rgb="FFFCE4D6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7030A0"/>
      <rgbColor rgb="FFF2F2F2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FEB9C"/>
      <rgbColor rgb="FF99CCFF"/>
      <rgbColor rgb="FFFCE4D6"/>
      <rgbColor rgb="FFCC99FF"/>
      <rgbColor rgb="FFFFC7CE"/>
      <rgbColor rgb="FF2E75B6"/>
      <rgbColor rgb="FF33CCCC"/>
      <rgbColor rgb="FF99CC00"/>
      <rgbColor rgb="FFFFCC00"/>
      <rgbColor rgb="FFBF8F00"/>
      <rgbColor rgb="FFC55A11"/>
      <rgbColor rgb="FF4F81BD"/>
      <rgbColor rgb="FF878787"/>
      <rgbColor rgb="FF0F2A43"/>
      <rgbColor rgb="FF548235"/>
      <rgbColor rgb="FF003300"/>
      <rgbColor rgb="FF333300"/>
      <rgbColor rgb="FF993300"/>
      <rgbColor rgb="FFC0504D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Riesgo inicial vs residual por nivel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Inicial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Dashboard'!$B$15:$B$19</c:f>
              <c:strCache>
                <c:ptCount val="5"/>
                <c:pt idx="0">
                  <c:v>Trivial</c:v>
                </c:pt>
                <c:pt idx="1">
                  <c:v>Tolerable</c:v>
                </c:pt>
                <c:pt idx="2">
                  <c:v>Moderado</c:v>
                </c:pt>
                <c:pt idx="3">
                  <c:v>Importante</c:v>
                </c:pt>
                <c:pt idx="4">
                  <c:v>Intolerable</c:v>
                </c:pt>
              </c:strCache>
            </c:strRef>
          </c:cat>
          <c:val>
            <c:numRef>
              <c:f>'9. Dashboard'!$C$15:$C$19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A-41BF-B2A6-F392624BFAC8}"/>
            </c:ext>
          </c:extLst>
        </c:ser>
        <c:ser>
          <c:idx val="1"/>
          <c:order val="1"/>
          <c:tx>
            <c:v>Residual</c:v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'9. Dashboard'!$B$15:$B$19</c:f>
              <c:strCache>
                <c:ptCount val="5"/>
                <c:pt idx="0">
                  <c:v>Trivial</c:v>
                </c:pt>
                <c:pt idx="1">
                  <c:v>Tolerable</c:v>
                </c:pt>
                <c:pt idx="2">
                  <c:v>Moderado</c:v>
                </c:pt>
                <c:pt idx="3">
                  <c:v>Importante</c:v>
                </c:pt>
                <c:pt idx="4">
                  <c:v>Intolerable</c:v>
                </c:pt>
              </c:strCache>
            </c:strRef>
          </c:cat>
          <c:val>
            <c:numRef>
              <c:f>'9. Dashboard'!$E$15:$E$19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DA-41BF-B2A6-F392624BF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546114"/>
        <c:axId val="45966595"/>
      </c:barChart>
      <c:catAx>
        <c:axId val="275461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Nivel de riesgo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5966595"/>
        <c:crosses val="autoZero"/>
        <c:auto val="1"/>
        <c:lblAlgn val="ctr"/>
        <c:lblOffset val="100"/>
        <c:noMultiLvlLbl val="0"/>
      </c:catAx>
      <c:valAx>
        <c:axId val="459665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N° de riesgos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275461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4</xdr:col>
      <xdr:colOff>1598820</xdr:colOff>
      <xdr:row>33</xdr:row>
      <xdr:rowOff>42840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Z60"/>
  <sheetViews>
    <sheetView showGridLines="0" tabSelected="1" zoomScaleNormal="100" workbookViewId="0">
      <selection activeCell="L16" sqref="L16"/>
    </sheetView>
  </sheetViews>
  <sheetFormatPr baseColWidth="10" defaultColWidth="8.7109375" defaultRowHeight="15" x14ac:dyDescent="0.25"/>
  <cols>
    <col min="1" max="1" width="2" customWidth="1"/>
    <col min="2" max="6" width="22" customWidth="1"/>
    <col min="7" max="7" width="2" customWidth="1"/>
  </cols>
  <sheetData>
    <row r="1" spans="2:52" ht="15" customHeight="1" x14ac:dyDescent="0.25">
      <c r="AZ1" s="15" t="s">
        <v>0</v>
      </c>
    </row>
    <row r="2" spans="2:52" ht="39.75" customHeight="1" x14ac:dyDescent="0.25">
      <c r="B2" s="14" t="s">
        <v>1</v>
      </c>
      <c r="C2" s="14"/>
      <c r="D2" s="14"/>
      <c r="E2" s="14"/>
      <c r="F2" s="14"/>
    </row>
    <row r="3" spans="2:52" ht="21.75" customHeight="1" x14ac:dyDescent="0.25">
      <c r="B3" s="13" t="s">
        <v>2</v>
      </c>
      <c r="C3" s="13"/>
      <c r="D3" s="13"/>
      <c r="E3" s="13"/>
      <c r="F3" s="13"/>
    </row>
    <row r="4" spans="2:52" ht="19.5" customHeight="1" x14ac:dyDescent="0.25">
      <c r="B4" s="12" t="s">
        <v>3</v>
      </c>
      <c r="C4" s="12"/>
      <c r="D4" s="12"/>
      <c r="E4" s="12"/>
      <c r="F4" s="12"/>
    </row>
    <row r="6" spans="2:52" ht="24" customHeight="1" x14ac:dyDescent="0.25">
      <c r="B6" s="11" t="s">
        <v>4</v>
      </c>
      <c r="C6" s="11"/>
      <c r="D6" s="11"/>
      <c r="E6" s="11"/>
      <c r="F6" s="11"/>
    </row>
    <row r="7" spans="2:52" ht="21.75" customHeight="1" x14ac:dyDescent="0.25">
      <c r="B7" s="10" t="s">
        <v>5</v>
      </c>
      <c r="C7" s="10"/>
      <c r="D7" s="9" t="s">
        <v>41</v>
      </c>
      <c r="E7" s="9"/>
      <c r="F7" s="9"/>
    </row>
    <row r="8" spans="2:52" ht="15" customHeight="1" x14ac:dyDescent="0.25">
      <c r="B8" s="10" t="s">
        <v>6</v>
      </c>
      <c r="C8" s="10"/>
      <c r="D8" s="8" t="s">
        <v>7</v>
      </c>
      <c r="E8" s="8"/>
      <c r="F8" s="8"/>
    </row>
    <row r="10" spans="2:52" ht="15" customHeight="1" x14ac:dyDescent="0.25">
      <c r="B10" s="7" t="s">
        <v>8</v>
      </c>
      <c r="C10" s="7"/>
      <c r="D10" s="7"/>
      <c r="E10" s="7"/>
      <c r="F10" s="7"/>
    </row>
    <row r="11" spans="2:52" ht="18" customHeight="1" x14ac:dyDescent="0.25">
      <c r="B11" s="16" t="s">
        <v>9</v>
      </c>
      <c r="C11" s="6" t="s">
        <v>10</v>
      </c>
      <c r="D11" s="6"/>
      <c r="E11" s="6"/>
      <c r="F11" s="6"/>
    </row>
    <row r="12" spans="2:52" ht="18" customHeight="1" x14ac:dyDescent="0.25">
      <c r="B12" s="16" t="s">
        <v>11</v>
      </c>
      <c r="C12" s="6" t="s">
        <v>12</v>
      </c>
      <c r="D12" s="6"/>
      <c r="E12" s="6"/>
      <c r="F12" s="6"/>
    </row>
    <row r="13" spans="2:52" ht="18" customHeight="1" x14ac:dyDescent="0.25">
      <c r="B13" s="16" t="s">
        <v>13</v>
      </c>
      <c r="C13" s="6" t="s">
        <v>14</v>
      </c>
      <c r="D13" s="6"/>
      <c r="E13" s="6"/>
      <c r="F13" s="6"/>
    </row>
    <row r="14" spans="2:52" ht="18" customHeight="1" x14ac:dyDescent="0.25">
      <c r="B14" s="16" t="s">
        <v>15</v>
      </c>
      <c r="C14" s="6" t="s">
        <v>16</v>
      </c>
      <c r="D14" s="6"/>
      <c r="E14" s="6"/>
      <c r="F14" s="6"/>
    </row>
    <row r="15" spans="2:52" ht="18" customHeight="1" x14ac:dyDescent="0.25">
      <c r="B15" s="16" t="s">
        <v>17</v>
      </c>
      <c r="C15" s="6" t="s">
        <v>18</v>
      </c>
      <c r="D15" s="6"/>
      <c r="E15" s="6"/>
      <c r="F15" s="6"/>
    </row>
    <row r="16" spans="2:52" ht="18" customHeight="1" x14ac:dyDescent="0.25">
      <c r="B16" s="16" t="s">
        <v>19</v>
      </c>
      <c r="C16" s="6" t="s">
        <v>20</v>
      </c>
      <c r="D16" s="6"/>
      <c r="E16" s="6"/>
      <c r="F16" s="6"/>
    </row>
    <row r="17" spans="2:6" ht="18" customHeight="1" x14ac:dyDescent="0.25">
      <c r="B17" s="16" t="s">
        <v>21</v>
      </c>
      <c r="C17" s="6" t="s">
        <v>22</v>
      </c>
      <c r="D17" s="6"/>
      <c r="E17" s="6"/>
      <c r="F17" s="6"/>
    </row>
    <row r="18" spans="2:6" ht="18" customHeight="1" x14ac:dyDescent="0.25">
      <c r="B18" s="16" t="s">
        <v>23</v>
      </c>
      <c r="C18" s="6" t="s">
        <v>24</v>
      </c>
      <c r="D18" s="6"/>
      <c r="E18" s="6"/>
      <c r="F18" s="6"/>
    </row>
    <row r="19" spans="2:6" ht="18" customHeight="1" x14ac:dyDescent="0.25">
      <c r="B19" s="16" t="s">
        <v>25</v>
      </c>
      <c r="C19" s="6" t="s">
        <v>26</v>
      </c>
      <c r="D19" s="6"/>
      <c r="E19" s="6"/>
      <c r="F19" s="6"/>
    </row>
    <row r="21" spans="2:6" ht="15" customHeight="1" x14ac:dyDescent="0.25">
      <c r="B21" s="7" t="s">
        <v>27</v>
      </c>
      <c r="C21" s="7"/>
      <c r="D21" s="7"/>
      <c r="E21" s="7"/>
      <c r="F21" s="7"/>
    </row>
    <row r="22" spans="2:6" ht="15.75" customHeight="1" x14ac:dyDescent="0.25">
      <c r="B22" s="5" t="s">
        <v>28</v>
      </c>
      <c r="C22" s="5"/>
      <c r="D22" s="5"/>
      <c r="E22" s="5"/>
      <c r="F22" s="5"/>
    </row>
    <row r="23" spans="2:6" ht="15.75" customHeight="1" x14ac:dyDescent="0.25">
      <c r="B23" s="5" t="s">
        <v>29</v>
      </c>
      <c r="C23" s="5"/>
      <c r="D23" s="5"/>
      <c r="E23" s="5"/>
      <c r="F23" s="5"/>
    </row>
    <row r="24" spans="2:6" ht="15.75" customHeight="1" x14ac:dyDescent="0.25">
      <c r="B24" s="5" t="s">
        <v>30</v>
      </c>
      <c r="C24" s="5"/>
      <c r="D24" s="5"/>
      <c r="E24" s="5"/>
      <c r="F24" s="5"/>
    </row>
    <row r="25" spans="2:6" ht="15.75" customHeight="1" x14ac:dyDescent="0.25">
      <c r="B25" s="5" t="s">
        <v>31</v>
      </c>
      <c r="C25" s="5"/>
      <c r="D25" s="5"/>
      <c r="E25" s="5"/>
      <c r="F25" s="5"/>
    </row>
    <row r="26" spans="2:6" ht="15.75" customHeight="1" x14ac:dyDescent="0.25">
      <c r="B26" s="5" t="s">
        <v>32</v>
      </c>
      <c r="C26" s="5"/>
      <c r="D26" s="5"/>
      <c r="E26" s="5"/>
      <c r="F26" s="5"/>
    </row>
    <row r="28" spans="2:6" ht="15" customHeight="1" x14ac:dyDescent="0.25">
      <c r="B28" s="17" t="s">
        <v>33</v>
      </c>
      <c r="C28" s="4" t="s">
        <v>34</v>
      </c>
      <c r="D28" s="4"/>
      <c r="E28" s="4"/>
      <c r="F28" s="4"/>
    </row>
    <row r="29" spans="2:6" ht="15" customHeight="1" x14ac:dyDescent="0.25">
      <c r="B29" s="17" t="s">
        <v>35</v>
      </c>
      <c r="C29" s="4" t="s">
        <v>36</v>
      </c>
      <c r="D29" s="4"/>
      <c r="E29" s="4"/>
      <c r="F29" s="4"/>
    </row>
    <row r="60" spans="2:2" ht="15" customHeight="1" x14ac:dyDescent="0.25">
      <c r="B60" s="15" t="s">
        <v>0</v>
      </c>
    </row>
  </sheetData>
  <mergeCells count="26">
    <mergeCell ref="B24:F24"/>
    <mergeCell ref="B25:F25"/>
    <mergeCell ref="B26:F26"/>
    <mergeCell ref="C28:F28"/>
    <mergeCell ref="C29:F29"/>
    <mergeCell ref="C18:F18"/>
    <mergeCell ref="C19:F19"/>
    <mergeCell ref="B21:F21"/>
    <mergeCell ref="B22:F22"/>
    <mergeCell ref="B23:F23"/>
    <mergeCell ref="C13:F13"/>
    <mergeCell ref="C14:F14"/>
    <mergeCell ref="C15:F15"/>
    <mergeCell ref="C16:F16"/>
    <mergeCell ref="C17:F17"/>
    <mergeCell ref="B8:C8"/>
    <mergeCell ref="D8:F8"/>
    <mergeCell ref="B10:F10"/>
    <mergeCell ref="C11:F11"/>
    <mergeCell ref="C12:F12"/>
    <mergeCell ref="B2:F2"/>
    <mergeCell ref="B3:F3"/>
    <mergeCell ref="B4:F4"/>
    <mergeCell ref="B6:F6"/>
    <mergeCell ref="B7:C7"/>
    <mergeCell ref="D7:F7"/>
  </mergeCells>
  <dataValidations count="2">
    <dataValidation type="list" sqref="D7" xr:uid="{00000000-0002-0000-0000-000000000000}">
      <formula1>"BÁSICO (Detalle),MEDIO,AVANZADO,SÚPER PROFESIONAL"</formula1>
      <formula2>0</formula2>
    </dataValidation>
    <dataValidation type="list" allowBlank="1" sqref="D8" xr:uid="{00000000-0002-0000-0000-000001000000}">
      <formula1>"Oficina / Sector público,Comercio,Almacén / Logística,Limpieza,Mantenimiento,Transporte,Construcción,Minería,Hidrocarburos,Salud,Manufactura / Industria,Agroindustria"</formula1>
      <formula2>0</formula2>
    </dataValidation>
  </dataValidations>
  <pageMargins left="0.4" right="0.4" top="0.5" bottom="0.5" header="0.511811023622047" footer="0.51180555555555596"/>
  <pageSetup paperSize="9" fitToHeight="0" orientation="portrait" horizontalDpi="300" verticalDpi="300"/>
  <headerFooter>
    <oddFooter>&amp;L&amp;7 IPERC Normativo Perú&amp;C&amp;7 Pág. &amp;P de &amp;N&amp;R&amp;7 © Ing. Pierre R. - peru.labs.pe@gmail.com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Z26"/>
  <sheetViews>
    <sheetView showGridLines="0" zoomScaleNormal="100" workbookViewId="0">
      <selection activeCell="C9" sqref="C9"/>
    </sheetView>
  </sheetViews>
  <sheetFormatPr baseColWidth="10" defaultColWidth="8.7109375" defaultRowHeight="15" x14ac:dyDescent="0.25"/>
  <cols>
    <col min="1" max="1" width="2" customWidth="1"/>
    <col min="2" max="2" width="44" customWidth="1"/>
    <col min="3" max="5" width="16" customWidth="1"/>
    <col min="6" max="6" width="20" customWidth="1"/>
  </cols>
  <sheetData>
    <row r="1" spans="2:52" ht="15" customHeight="1" x14ac:dyDescent="0.25">
      <c r="AZ1" s="18" t="s">
        <v>0</v>
      </c>
    </row>
    <row r="2" spans="2:52" ht="30" customHeight="1" x14ac:dyDescent="0.25">
      <c r="B2" s="3" t="s">
        <v>37</v>
      </c>
      <c r="C2" s="3"/>
      <c r="D2" s="3"/>
      <c r="E2" s="3"/>
      <c r="F2" s="3"/>
    </row>
    <row r="3" spans="2:52" ht="30" customHeight="1" x14ac:dyDescent="0.25">
      <c r="B3" s="19" t="s">
        <v>38</v>
      </c>
      <c r="C3" s="19" t="s">
        <v>39</v>
      </c>
      <c r="D3" s="19" t="s">
        <v>40</v>
      </c>
      <c r="E3" s="19" t="s">
        <v>41</v>
      </c>
      <c r="F3" s="19" t="s">
        <v>42</v>
      </c>
    </row>
    <row r="4" spans="2:52" ht="21.75" customHeight="1" x14ac:dyDescent="0.25">
      <c r="B4" s="20" t="s">
        <v>43</v>
      </c>
      <c r="C4" s="21" t="s">
        <v>44</v>
      </c>
      <c r="D4" s="21" t="s">
        <v>44</v>
      </c>
      <c r="E4" s="21" t="s">
        <v>44</v>
      </c>
      <c r="F4" s="21" t="s">
        <v>44</v>
      </c>
    </row>
    <row r="5" spans="2:52" ht="21.75" customHeight="1" x14ac:dyDescent="0.25">
      <c r="B5" s="22" t="s">
        <v>45</v>
      </c>
      <c r="C5" s="21" t="s">
        <v>44</v>
      </c>
      <c r="D5" s="21" t="s">
        <v>44</v>
      </c>
      <c r="E5" s="21" t="s">
        <v>44</v>
      </c>
      <c r="F5" s="21" t="s">
        <v>44</v>
      </c>
    </row>
    <row r="6" spans="2:52" ht="21.75" customHeight="1" x14ac:dyDescent="0.25">
      <c r="B6" s="20" t="s">
        <v>46</v>
      </c>
      <c r="C6" s="21" t="s">
        <v>44</v>
      </c>
      <c r="D6" s="21" t="s">
        <v>44</v>
      </c>
      <c r="E6" s="21" t="s">
        <v>44</v>
      </c>
      <c r="F6" s="21" t="s">
        <v>44</v>
      </c>
    </row>
    <row r="7" spans="2:52" ht="21.75" customHeight="1" x14ac:dyDescent="0.25">
      <c r="B7" s="22" t="s">
        <v>47</v>
      </c>
      <c r="C7" s="23" t="s">
        <v>48</v>
      </c>
      <c r="D7" s="21" t="s">
        <v>44</v>
      </c>
      <c r="E7" s="21" t="s">
        <v>44</v>
      </c>
      <c r="F7" s="21" t="s">
        <v>44</v>
      </c>
    </row>
    <row r="8" spans="2:52" ht="21.75" customHeight="1" x14ac:dyDescent="0.25">
      <c r="B8" s="20" t="s">
        <v>49</v>
      </c>
      <c r="C8" s="24" t="s">
        <v>50</v>
      </c>
      <c r="D8" s="21" t="s">
        <v>44</v>
      </c>
      <c r="E8" s="21" t="s">
        <v>44</v>
      </c>
      <c r="F8" s="21" t="s">
        <v>44</v>
      </c>
    </row>
    <row r="9" spans="2:52" ht="21.75" customHeight="1" x14ac:dyDescent="0.25">
      <c r="B9" s="22" t="s">
        <v>51</v>
      </c>
      <c r="C9" s="23" t="s">
        <v>52</v>
      </c>
      <c r="D9" s="21" t="s">
        <v>44</v>
      </c>
      <c r="E9" s="21" t="s">
        <v>44</v>
      </c>
      <c r="F9" s="21" t="s">
        <v>53</v>
      </c>
    </row>
    <row r="10" spans="2:52" ht="21.75" customHeight="1" x14ac:dyDescent="0.25">
      <c r="B10" s="20" t="s">
        <v>54</v>
      </c>
      <c r="C10" s="24" t="s">
        <v>50</v>
      </c>
      <c r="D10" s="21" t="s">
        <v>44</v>
      </c>
      <c r="E10" s="21" t="s">
        <v>44</v>
      </c>
      <c r="F10" s="21" t="s">
        <v>44</v>
      </c>
    </row>
    <row r="11" spans="2:52" ht="21.75" customHeight="1" x14ac:dyDescent="0.25">
      <c r="B11" s="22" t="s">
        <v>55</v>
      </c>
      <c r="C11" s="24" t="s">
        <v>50</v>
      </c>
      <c r="D11" s="24" t="s">
        <v>50</v>
      </c>
      <c r="E11" s="21" t="s">
        <v>44</v>
      </c>
      <c r="F11" s="21" t="s">
        <v>44</v>
      </c>
    </row>
    <row r="12" spans="2:52" ht="21.75" customHeight="1" x14ac:dyDescent="0.25">
      <c r="B12" s="20" t="s">
        <v>56</v>
      </c>
      <c r="C12" s="23" t="s">
        <v>57</v>
      </c>
      <c r="D12" s="23" t="s">
        <v>57</v>
      </c>
      <c r="E12" s="21" t="s">
        <v>44</v>
      </c>
      <c r="F12" s="21" t="s">
        <v>58</v>
      </c>
    </row>
    <row r="13" spans="2:52" ht="21.75" customHeight="1" x14ac:dyDescent="0.25">
      <c r="B13" s="22" t="s">
        <v>59</v>
      </c>
      <c r="C13" s="24" t="s">
        <v>50</v>
      </c>
      <c r="D13" s="24" t="s">
        <v>50</v>
      </c>
      <c r="E13" s="21" t="s">
        <v>44</v>
      </c>
      <c r="F13" s="21" t="s">
        <v>44</v>
      </c>
    </row>
    <row r="14" spans="2:52" ht="21.75" customHeight="1" x14ac:dyDescent="0.25">
      <c r="B14" s="20" t="s">
        <v>60</v>
      </c>
      <c r="C14" s="24" t="s">
        <v>50</v>
      </c>
      <c r="D14" s="21" t="s">
        <v>44</v>
      </c>
      <c r="E14" s="21" t="s">
        <v>44</v>
      </c>
      <c r="F14" s="21" t="s">
        <v>44</v>
      </c>
    </row>
    <row r="15" spans="2:52" ht="21.75" customHeight="1" x14ac:dyDescent="0.25">
      <c r="B15" s="22" t="s">
        <v>61</v>
      </c>
      <c r="C15" s="24" t="s">
        <v>50</v>
      </c>
      <c r="D15" s="24" t="s">
        <v>50</v>
      </c>
      <c r="E15" s="21" t="s">
        <v>44</v>
      </c>
      <c r="F15" s="21" t="s">
        <v>44</v>
      </c>
    </row>
    <row r="16" spans="2:52" ht="21.75" customHeight="1" x14ac:dyDescent="0.25">
      <c r="B16" s="20" t="s">
        <v>62</v>
      </c>
      <c r="C16" s="24" t="s">
        <v>50</v>
      </c>
      <c r="D16" s="24" t="s">
        <v>50</v>
      </c>
      <c r="E16" s="23" t="s">
        <v>63</v>
      </c>
      <c r="F16" s="21" t="s">
        <v>64</v>
      </c>
    </row>
    <row r="17" spans="2:6" ht="21.75" customHeight="1" x14ac:dyDescent="0.25">
      <c r="B17" s="22" t="s">
        <v>65</v>
      </c>
      <c r="C17" s="24" t="s">
        <v>50</v>
      </c>
      <c r="D17" s="24" t="s">
        <v>50</v>
      </c>
      <c r="E17" s="21" t="s">
        <v>44</v>
      </c>
      <c r="F17" s="21" t="s">
        <v>44</v>
      </c>
    </row>
    <row r="18" spans="2:6" ht="21.75" customHeight="1" x14ac:dyDescent="0.25">
      <c r="B18" s="20" t="s">
        <v>66</v>
      </c>
      <c r="C18" s="24" t="s">
        <v>50</v>
      </c>
      <c r="D18" s="23" t="s">
        <v>63</v>
      </c>
      <c r="E18" s="21" t="s">
        <v>44</v>
      </c>
      <c r="F18" s="21" t="s">
        <v>67</v>
      </c>
    </row>
    <row r="19" spans="2:6" ht="21.75" customHeight="1" x14ac:dyDescent="0.25">
      <c r="B19" s="22" t="s">
        <v>68</v>
      </c>
      <c r="C19" s="24" t="s">
        <v>50</v>
      </c>
      <c r="D19" s="24" t="s">
        <v>50</v>
      </c>
      <c r="E19" s="23" t="s">
        <v>63</v>
      </c>
      <c r="F19" s="21" t="s">
        <v>44</v>
      </c>
    </row>
    <row r="20" spans="2:6" ht="21.75" customHeight="1" x14ac:dyDescent="0.25">
      <c r="B20" s="20" t="s">
        <v>69</v>
      </c>
      <c r="C20" s="23" t="s">
        <v>70</v>
      </c>
      <c r="D20" s="23" t="s">
        <v>63</v>
      </c>
      <c r="E20" s="21" t="s">
        <v>44</v>
      </c>
      <c r="F20" s="21" t="s">
        <v>71</v>
      </c>
    </row>
    <row r="22" spans="2:6" ht="15" customHeight="1" x14ac:dyDescent="0.25">
      <c r="B22" s="2" t="s">
        <v>72</v>
      </c>
      <c r="C22" s="2"/>
      <c r="D22" s="2"/>
      <c r="E22" s="2"/>
      <c r="F22" s="2"/>
    </row>
    <row r="23" spans="2:6" ht="15.75" customHeight="1" x14ac:dyDescent="0.25">
      <c r="B23" s="1" t="s">
        <v>73</v>
      </c>
      <c r="C23" s="1"/>
      <c r="D23" s="1"/>
      <c r="E23" s="1"/>
      <c r="F23" s="1"/>
    </row>
    <row r="24" spans="2:6" ht="15.75" customHeight="1" x14ac:dyDescent="0.25">
      <c r="B24" s="1" t="s">
        <v>74</v>
      </c>
      <c r="C24" s="1"/>
      <c r="D24" s="1"/>
      <c r="E24" s="1"/>
      <c r="F24" s="1"/>
    </row>
    <row r="25" spans="2:6" ht="15.75" customHeight="1" x14ac:dyDescent="0.25">
      <c r="B25" s="1" t="s">
        <v>75</v>
      </c>
      <c r="C25" s="1"/>
      <c r="D25" s="1"/>
      <c r="E25" s="1"/>
      <c r="F25" s="1"/>
    </row>
    <row r="26" spans="2:6" ht="15.75" customHeight="1" x14ac:dyDescent="0.25">
      <c r="B26" s="1" t="s">
        <v>76</v>
      </c>
      <c r="C26" s="1"/>
      <c r="D26" s="1"/>
      <c r="E26" s="1"/>
      <c r="F26" s="1"/>
    </row>
  </sheetData>
  <mergeCells count="6">
    <mergeCell ref="B26:F26"/>
    <mergeCell ref="B2:F2"/>
    <mergeCell ref="B22:F22"/>
    <mergeCell ref="B23:F23"/>
    <mergeCell ref="B24:F24"/>
    <mergeCell ref="B25:F25"/>
  </mergeCells>
  <pageMargins left="0.4" right="0.4" top="0.5" bottom="0.5" header="0.511811023622047" footer="0.51180555555555596"/>
  <pageSetup paperSize="9" fitToHeight="0" orientation="portrait" horizontalDpi="300" verticalDpi="300"/>
  <headerFooter>
    <oddFooter>&amp;L&amp;7 IPERC Normativo Perú&amp;C&amp;7 Pág. &amp;P de &amp;N&amp;R&amp;7 © Ing. Pierre R. - peru.labs.pe@gmail.com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Z19"/>
  <sheetViews>
    <sheetView showGridLines="0" zoomScaleNormal="100" workbookViewId="0">
      <selection activeCell="C16" sqref="C16"/>
    </sheetView>
  </sheetViews>
  <sheetFormatPr baseColWidth="10" defaultColWidth="8.7109375" defaultRowHeight="15" x14ac:dyDescent="0.25"/>
  <cols>
    <col min="1" max="1" width="2" customWidth="1"/>
    <col min="2" max="2" width="30" customWidth="1"/>
    <col min="3" max="3" width="34" customWidth="1"/>
    <col min="4" max="4" width="30" customWidth="1"/>
    <col min="5" max="5" width="34" customWidth="1"/>
  </cols>
  <sheetData>
    <row r="1" spans="2:52" ht="15" customHeight="1" x14ac:dyDescent="0.25">
      <c r="AZ1" s="18" t="s">
        <v>0</v>
      </c>
    </row>
    <row r="2" spans="2:52" ht="27.75" customHeight="1" x14ac:dyDescent="0.25">
      <c r="B2" s="3" t="s">
        <v>77</v>
      </c>
      <c r="C2" s="3"/>
      <c r="D2" s="3"/>
      <c r="E2" s="3"/>
    </row>
    <row r="3" spans="2:52" ht="15" customHeight="1" x14ac:dyDescent="0.25">
      <c r="B3" s="72" t="s">
        <v>78</v>
      </c>
      <c r="C3" s="72"/>
      <c r="D3" s="72"/>
      <c r="E3" s="72"/>
    </row>
    <row r="4" spans="2:52" ht="15" customHeight="1" x14ac:dyDescent="0.25">
      <c r="B4" s="25" t="s">
        <v>79</v>
      </c>
      <c r="C4" s="26"/>
      <c r="D4" s="25" t="s">
        <v>80</v>
      </c>
      <c r="E4" s="26"/>
    </row>
    <row r="5" spans="2:52" ht="15" customHeight="1" x14ac:dyDescent="0.25">
      <c r="B5" s="25" t="s">
        <v>81</v>
      </c>
      <c r="C5" s="26"/>
      <c r="D5" s="25" t="s">
        <v>82</v>
      </c>
      <c r="E5" s="26"/>
    </row>
    <row r="6" spans="2:52" ht="15" customHeight="1" x14ac:dyDescent="0.25">
      <c r="B6" s="25" t="s">
        <v>83</v>
      </c>
      <c r="C6" s="26"/>
      <c r="D6" s="25" t="s">
        <v>84</v>
      </c>
      <c r="E6" s="26"/>
    </row>
    <row r="7" spans="2:52" ht="15" customHeight="1" x14ac:dyDescent="0.25">
      <c r="B7" s="25" t="s">
        <v>85</v>
      </c>
      <c r="C7" s="26"/>
      <c r="D7" s="25" t="s">
        <v>86</v>
      </c>
      <c r="E7" s="26"/>
    </row>
    <row r="8" spans="2:52" ht="15" customHeight="1" x14ac:dyDescent="0.25">
      <c r="B8" s="72" t="s">
        <v>87</v>
      </c>
      <c r="C8" s="72"/>
      <c r="D8" s="72"/>
      <c r="E8" s="72"/>
    </row>
    <row r="9" spans="2:52" ht="15" customHeight="1" x14ac:dyDescent="0.25">
      <c r="B9" s="25" t="s">
        <v>88</v>
      </c>
      <c r="C9" s="26"/>
      <c r="D9" s="25" t="s">
        <v>89</v>
      </c>
      <c r="E9" s="26"/>
    </row>
    <row r="10" spans="2:52" ht="15" customHeight="1" x14ac:dyDescent="0.25">
      <c r="B10" s="25" t="s">
        <v>90</v>
      </c>
      <c r="C10" s="26"/>
      <c r="D10" s="25" t="s">
        <v>91</v>
      </c>
      <c r="E10" s="26"/>
    </row>
    <row r="11" spans="2:52" ht="15" customHeight="1" x14ac:dyDescent="0.25">
      <c r="B11" s="25" t="s">
        <v>92</v>
      </c>
      <c r="C11" s="26"/>
      <c r="D11" s="25" t="s">
        <v>93</v>
      </c>
      <c r="E11" s="26"/>
    </row>
    <row r="12" spans="2:52" ht="15" customHeight="1" x14ac:dyDescent="0.25">
      <c r="B12" s="25" t="s">
        <v>94</v>
      </c>
      <c r="C12" s="26"/>
      <c r="D12" s="25" t="s">
        <v>95</v>
      </c>
      <c r="E12" s="26"/>
    </row>
    <row r="13" spans="2:52" ht="15" customHeight="1" x14ac:dyDescent="0.25">
      <c r="B13" s="72" t="s">
        <v>96</v>
      </c>
      <c r="C13" s="72"/>
      <c r="D13" s="72"/>
      <c r="E13" s="72"/>
    </row>
    <row r="14" spans="2:52" ht="15" customHeight="1" x14ac:dyDescent="0.25">
      <c r="B14" s="25" t="s">
        <v>33</v>
      </c>
      <c r="C14" s="26"/>
      <c r="D14" s="25" t="s">
        <v>97</v>
      </c>
      <c r="E14" s="26"/>
    </row>
    <row r="15" spans="2:52" ht="15" customHeight="1" x14ac:dyDescent="0.25">
      <c r="B15" s="25" t="s">
        <v>98</v>
      </c>
      <c r="C15" s="26"/>
      <c r="D15" s="25" t="s">
        <v>99</v>
      </c>
      <c r="E15" s="26"/>
    </row>
    <row r="16" spans="2:52" ht="15" customHeight="1" x14ac:dyDescent="0.25">
      <c r="B16" s="25" t="s">
        <v>100</v>
      </c>
      <c r="C16" s="26"/>
      <c r="D16" s="25" t="s">
        <v>101</v>
      </c>
      <c r="E16" s="26"/>
    </row>
    <row r="17" spans="2:5" ht="15" customHeight="1" x14ac:dyDescent="0.25">
      <c r="B17" s="25" t="s">
        <v>102</v>
      </c>
      <c r="C17" s="26"/>
      <c r="D17" s="25" t="s">
        <v>103</v>
      </c>
      <c r="E17" s="26"/>
    </row>
    <row r="19" spans="2:5" ht="42" customHeight="1" x14ac:dyDescent="0.25">
      <c r="B19" s="73" t="s">
        <v>104</v>
      </c>
      <c r="C19" s="73"/>
      <c r="D19" s="73"/>
      <c r="E19" s="73"/>
    </row>
  </sheetData>
  <mergeCells count="5">
    <mergeCell ref="B2:E2"/>
    <mergeCell ref="B3:E3"/>
    <mergeCell ref="B8:E8"/>
    <mergeCell ref="B13:E13"/>
    <mergeCell ref="B19:E19"/>
  </mergeCells>
  <pageMargins left="0.4" right="0.4" top="0.5" bottom="0.5" header="0.511811023622047" footer="0.51180555555555596"/>
  <pageSetup paperSize="9" fitToHeight="0" orientation="portrait" horizontalDpi="300" verticalDpi="300"/>
  <headerFooter>
    <oddFooter>&amp;L&amp;7 IPERC Normativo Perú&amp;C&amp;7 Pág. &amp;P de &amp;N&amp;R&amp;7 © Ing. Pierre R. - peru.labs.pe@gmail.com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Z24"/>
  <sheetViews>
    <sheetView showGridLines="0" zoomScaleNormal="100" workbookViewId="0">
      <selection activeCell="D13" sqref="D13:G13"/>
    </sheetView>
  </sheetViews>
  <sheetFormatPr baseColWidth="10" defaultColWidth="8.7109375" defaultRowHeight="15" x14ac:dyDescent="0.25"/>
  <cols>
    <col min="1" max="1" width="2" customWidth="1"/>
    <col min="2" max="2" width="8" customWidth="1"/>
    <col min="3" max="3" width="40" customWidth="1"/>
    <col min="4" max="4" width="18.140625" bestFit="1" customWidth="1"/>
    <col min="5" max="5" width="14.85546875" bestFit="1" customWidth="1"/>
    <col min="6" max="7" width="14" customWidth="1"/>
  </cols>
  <sheetData>
    <row r="1" spans="2:52" ht="15" customHeight="1" x14ac:dyDescent="0.25">
      <c r="AZ1" s="18" t="s">
        <v>0</v>
      </c>
    </row>
    <row r="2" spans="2:52" ht="25.5" customHeight="1" x14ac:dyDescent="0.25">
      <c r="B2" s="74" t="s">
        <v>105</v>
      </c>
      <c r="C2" s="74"/>
      <c r="D2" s="74"/>
      <c r="E2" s="74"/>
      <c r="F2" s="74"/>
      <c r="G2" s="74"/>
    </row>
    <row r="3" spans="2:52" ht="19.5" customHeight="1" x14ac:dyDescent="0.25">
      <c r="B3" s="75" t="s">
        <v>106</v>
      </c>
      <c r="C3" s="75"/>
      <c r="D3" s="75"/>
      <c r="E3" s="75"/>
      <c r="F3" s="75"/>
      <c r="G3" s="75"/>
    </row>
    <row r="5" spans="2:52" ht="15" customHeight="1" x14ac:dyDescent="0.25">
      <c r="B5" s="72" t="s">
        <v>107</v>
      </c>
      <c r="C5" s="72"/>
      <c r="D5" s="72"/>
      <c r="E5" s="72"/>
      <c r="F5" s="72"/>
      <c r="G5" s="72"/>
    </row>
    <row r="6" spans="2:52" ht="15" customHeight="1" x14ac:dyDescent="0.25">
      <c r="B6" s="27" t="s">
        <v>108</v>
      </c>
      <c r="C6" s="27" t="s">
        <v>109</v>
      </c>
      <c r="D6" s="27" t="s">
        <v>110</v>
      </c>
      <c r="E6" s="27" t="s">
        <v>111</v>
      </c>
      <c r="F6" s="27" t="s">
        <v>112</v>
      </c>
    </row>
    <row r="7" spans="2:52" ht="30" customHeight="1" x14ac:dyDescent="0.25">
      <c r="B7" s="28" t="s">
        <v>113</v>
      </c>
      <c r="C7" s="22" t="s">
        <v>114</v>
      </c>
      <c r="D7" s="29" t="s">
        <v>115</v>
      </c>
      <c r="E7" s="29" t="s">
        <v>116</v>
      </c>
      <c r="F7" s="76" t="s">
        <v>117</v>
      </c>
      <c r="G7" s="76"/>
    </row>
    <row r="8" spans="2:52" ht="30" customHeight="1" x14ac:dyDescent="0.25">
      <c r="B8" s="28" t="s">
        <v>118</v>
      </c>
      <c r="C8" s="22" t="s">
        <v>119</v>
      </c>
      <c r="D8" s="29" t="s">
        <v>120</v>
      </c>
      <c r="E8" s="29" t="s">
        <v>121</v>
      </c>
      <c r="F8" s="76" t="s">
        <v>122</v>
      </c>
      <c r="G8" s="76"/>
    </row>
    <row r="9" spans="2:52" ht="30" customHeight="1" x14ac:dyDescent="0.25">
      <c r="B9" s="28" t="s">
        <v>123</v>
      </c>
      <c r="C9" s="22" t="s">
        <v>124</v>
      </c>
      <c r="D9" s="29" t="s">
        <v>125</v>
      </c>
      <c r="E9" s="29" t="s">
        <v>126</v>
      </c>
      <c r="F9" s="76" t="s">
        <v>127</v>
      </c>
      <c r="G9" s="76"/>
    </row>
    <row r="10" spans="2:52" ht="30" customHeight="1" x14ac:dyDescent="0.25">
      <c r="B10" s="28" t="s">
        <v>128</v>
      </c>
      <c r="C10" s="22" t="s">
        <v>129</v>
      </c>
      <c r="D10" s="29" t="s">
        <v>130</v>
      </c>
      <c r="E10" s="29" t="s">
        <v>131</v>
      </c>
      <c r="F10" s="76" t="s">
        <v>132</v>
      </c>
      <c r="G10" s="76"/>
    </row>
    <row r="11" spans="2:52" ht="15" customHeight="1" x14ac:dyDescent="0.25">
      <c r="B11" s="72" t="s">
        <v>133</v>
      </c>
      <c r="C11" s="72"/>
      <c r="D11" s="72"/>
      <c r="E11" s="72"/>
      <c r="F11" s="72"/>
      <c r="G11" s="72"/>
    </row>
    <row r="12" spans="2:52" ht="24" customHeight="1" x14ac:dyDescent="0.25">
      <c r="B12" s="28" t="s">
        <v>134</v>
      </c>
      <c r="C12" s="16" t="s">
        <v>135</v>
      </c>
      <c r="D12" s="77" t="s">
        <v>136</v>
      </c>
      <c r="E12" s="77"/>
      <c r="F12" s="77"/>
      <c r="G12" s="77"/>
    </row>
    <row r="13" spans="2:52" ht="24" customHeight="1" x14ac:dyDescent="0.25">
      <c r="B13" s="28" t="s">
        <v>137</v>
      </c>
      <c r="C13" s="16" t="s">
        <v>138</v>
      </c>
      <c r="D13" s="77" t="s">
        <v>139</v>
      </c>
      <c r="E13" s="77"/>
      <c r="F13" s="77"/>
      <c r="G13" s="77"/>
    </row>
    <row r="14" spans="2:52" ht="24" customHeight="1" x14ac:dyDescent="0.25">
      <c r="B14" s="28" t="s">
        <v>140</v>
      </c>
      <c r="C14" s="16" t="s">
        <v>141</v>
      </c>
      <c r="D14" s="77" t="s">
        <v>142</v>
      </c>
      <c r="E14" s="77"/>
      <c r="F14" s="77"/>
      <c r="G14" s="77"/>
    </row>
    <row r="16" spans="2:52" ht="15" customHeight="1" x14ac:dyDescent="0.25">
      <c r="B16" s="72" t="s">
        <v>143</v>
      </c>
      <c r="C16" s="72"/>
      <c r="D16" s="72"/>
      <c r="E16" s="72"/>
      <c r="F16" s="72"/>
      <c r="G16" s="72"/>
    </row>
    <row r="17" spans="2:7" ht="15" customHeight="1" x14ac:dyDescent="0.25">
      <c r="B17" s="27" t="s">
        <v>144</v>
      </c>
      <c r="C17" s="27" t="s">
        <v>145</v>
      </c>
      <c r="D17" s="27" t="s">
        <v>146</v>
      </c>
      <c r="E17" s="78" t="s">
        <v>147</v>
      </c>
      <c r="F17" s="78"/>
      <c r="G17" s="78"/>
    </row>
    <row r="18" spans="2:7" ht="19.5" customHeight="1" x14ac:dyDescent="0.25">
      <c r="B18" s="30" t="s">
        <v>148</v>
      </c>
      <c r="C18" s="31" t="s">
        <v>149</v>
      </c>
      <c r="D18" s="30" t="s">
        <v>150</v>
      </c>
      <c r="E18" s="79" t="s">
        <v>151</v>
      </c>
      <c r="F18" s="79"/>
      <c r="G18" s="79"/>
    </row>
    <row r="19" spans="2:7" ht="19.5" customHeight="1" x14ac:dyDescent="0.25">
      <c r="B19" s="30" t="s">
        <v>152</v>
      </c>
      <c r="C19" s="31" t="s">
        <v>153</v>
      </c>
      <c r="D19" s="30" t="s">
        <v>150</v>
      </c>
      <c r="E19" s="79" t="s">
        <v>154</v>
      </c>
      <c r="F19" s="79"/>
      <c r="G19" s="79"/>
    </row>
    <row r="20" spans="2:7" ht="19.5" customHeight="1" x14ac:dyDescent="0.25">
      <c r="B20" s="32" t="s">
        <v>155</v>
      </c>
      <c r="C20" s="33" t="s">
        <v>156</v>
      </c>
      <c r="D20" s="32" t="s">
        <v>157</v>
      </c>
      <c r="E20" s="80" t="s">
        <v>158</v>
      </c>
      <c r="F20" s="80"/>
      <c r="G20" s="80"/>
    </row>
    <row r="21" spans="2:7" ht="19.5" customHeight="1" x14ac:dyDescent="0.25">
      <c r="B21" s="34" t="s">
        <v>159</v>
      </c>
      <c r="C21" s="35" t="s">
        <v>160</v>
      </c>
      <c r="D21" s="34" t="s">
        <v>157</v>
      </c>
      <c r="E21" s="81" t="s">
        <v>161</v>
      </c>
      <c r="F21" s="81"/>
      <c r="G21" s="81"/>
    </row>
    <row r="22" spans="2:7" ht="19.5" customHeight="1" x14ac:dyDescent="0.25">
      <c r="B22" s="36" t="s">
        <v>162</v>
      </c>
      <c r="C22" s="37" t="s">
        <v>163</v>
      </c>
      <c r="D22" s="36" t="s">
        <v>157</v>
      </c>
      <c r="E22" s="82" t="s">
        <v>164</v>
      </c>
      <c r="F22" s="82"/>
      <c r="G22" s="82"/>
    </row>
    <row r="24" spans="2:7" ht="39.75" customHeight="1" x14ac:dyDescent="0.25">
      <c r="B24" s="73" t="s">
        <v>165</v>
      </c>
      <c r="C24" s="73"/>
      <c r="D24" s="73"/>
      <c r="E24" s="73"/>
      <c r="F24" s="73"/>
      <c r="G24" s="73"/>
    </row>
  </sheetData>
  <mergeCells count="19">
    <mergeCell ref="E20:G20"/>
    <mergeCell ref="E21:G21"/>
    <mergeCell ref="E22:G22"/>
    <mergeCell ref="B24:G24"/>
    <mergeCell ref="D14:G14"/>
    <mergeCell ref="B16:G16"/>
    <mergeCell ref="E17:G17"/>
    <mergeCell ref="E18:G18"/>
    <mergeCell ref="E19:G19"/>
    <mergeCell ref="F9:G9"/>
    <mergeCell ref="F10:G10"/>
    <mergeCell ref="B11:G11"/>
    <mergeCell ref="D12:G12"/>
    <mergeCell ref="D13:G13"/>
    <mergeCell ref="B2:G2"/>
    <mergeCell ref="B3:G3"/>
    <mergeCell ref="B5:G5"/>
    <mergeCell ref="F7:G7"/>
    <mergeCell ref="F8:G8"/>
  </mergeCells>
  <pageMargins left="0.4" right="0.4" top="0.5" bottom="0.5" header="0.511811023622047" footer="0.51180555555555596"/>
  <pageSetup paperSize="9" fitToHeight="0" orientation="portrait" horizontalDpi="300" verticalDpi="300"/>
  <headerFooter>
    <oddFooter>&amp;L&amp;7 IPERC Normativo Perú&amp;C&amp;7 Pág. &amp;P de &amp;N&amp;R&amp;7 © Ing. Pierre R. - peru.labs.pe@gmail.com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Z36"/>
  <sheetViews>
    <sheetView showGridLines="0" zoomScaleNormal="100" workbookViewId="0">
      <pane xSplit="1" ySplit="3" topLeftCell="B14" activePane="bottomRight" state="frozen"/>
      <selection pane="topRight" activeCell="B1" sqref="B1"/>
      <selection pane="bottomLeft" activeCell="A4" sqref="A4"/>
      <selection pane="bottomRight" activeCell="B13" sqref="B13"/>
    </sheetView>
  </sheetViews>
  <sheetFormatPr baseColWidth="10" defaultColWidth="8.7109375" defaultRowHeight="15" x14ac:dyDescent="0.25"/>
  <cols>
    <col min="1" max="1" width="2" customWidth="1"/>
    <col min="2" max="2" width="18" customWidth="1"/>
    <col min="3" max="4" width="30" customWidth="1"/>
    <col min="5" max="5" width="32" customWidth="1"/>
    <col min="6" max="7" width="26" customWidth="1"/>
    <col min="8" max="9" width="30" customWidth="1"/>
    <col min="10" max="11" width="24" customWidth="1"/>
    <col min="12" max="12" width="26" customWidth="1"/>
  </cols>
  <sheetData>
    <row r="1" spans="2:52" ht="15" customHeight="1" x14ac:dyDescent="0.25">
      <c r="AZ1" s="18" t="s">
        <v>0</v>
      </c>
    </row>
    <row r="2" spans="2:52" ht="25.5" customHeight="1" x14ac:dyDescent="0.25">
      <c r="B2" s="74" t="s">
        <v>166</v>
      </c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2:52" ht="33.75" customHeight="1" x14ac:dyDescent="0.25">
      <c r="B3" s="38" t="s">
        <v>167</v>
      </c>
      <c r="C3" s="38" t="s">
        <v>168</v>
      </c>
      <c r="D3" s="38" t="s">
        <v>169</v>
      </c>
      <c r="E3" s="38" t="s">
        <v>170</v>
      </c>
      <c r="F3" s="38" t="s">
        <v>171</v>
      </c>
      <c r="G3" s="38" t="s">
        <v>172</v>
      </c>
      <c r="H3" s="38" t="s">
        <v>173</v>
      </c>
      <c r="I3" s="38" t="s">
        <v>174</v>
      </c>
      <c r="J3" s="38" t="s">
        <v>175</v>
      </c>
      <c r="K3" s="38" t="s">
        <v>176</v>
      </c>
      <c r="L3" s="38" t="s">
        <v>177</v>
      </c>
    </row>
    <row r="4" spans="2:52" ht="43.5" customHeight="1" x14ac:dyDescent="0.25">
      <c r="B4" s="39" t="s">
        <v>178</v>
      </c>
      <c r="C4" s="40" t="s">
        <v>179</v>
      </c>
      <c r="D4" s="40" t="s">
        <v>180</v>
      </c>
      <c r="E4" s="40" t="s">
        <v>181</v>
      </c>
      <c r="F4" s="40" t="s">
        <v>182</v>
      </c>
      <c r="G4" s="40" t="s">
        <v>183</v>
      </c>
      <c r="H4" s="40" t="s">
        <v>184</v>
      </c>
      <c r="I4" s="40" t="s">
        <v>185</v>
      </c>
      <c r="J4" s="40" t="s">
        <v>186</v>
      </c>
      <c r="K4" s="40" t="s">
        <v>187</v>
      </c>
      <c r="L4" s="40" t="s">
        <v>188</v>
      </c>
    </row>
    <row r="5" spans="2:52" ht="43.5" customHeight="1" x14ac:dyDescent="0.25">
      <c r="B5" s="39" t="s">
        <v>178</v>
      </c>
      <c r="C5" s="41" t="s">
        <v>189</v>
      </c>
      <c r="D5" s="41" t="s">
        <v>190</v>
      </c>
      <c r="E5" s="41" t="s">
        <v>191</v>
      </c>
      <c r="F5" s="41" t="s">
        <v>192</v>
      </c>
      <c r="G5" s="41" t="s">
        <v>193</v>
      </c>
      <c r="H5" s="41" t="s">
        <v>194</v>
      </c>
      <c r="I5" s="41" t="s">
        <v>195</v>
      </c>
      <c r="J5" s="41" t="s">
        <v>193</v>
      </c>
      <c r="K5" s="41" t="s">
        <v>196</v>
      </c>
      <c r="L5" s="41" t="s">
        <v>197</v>
      </c>
    </row>
    <row r="6" spans="2:52" ht="43.5" customHeight="1" x14ac:dyDescent="0.25">
      <c r="B6" s="39" t="s">
        <v>178</v>
      </c>
      <c r="C6" s="40" t="s">
        <v>198</v>
      </c>
      <c r="D6" s="40" t="s">
        <v>199</v>
      </c>
      <c r="E6" s="40" t="s">
        <v>200</v>
      </c>
      <c r="F6" s="40" t="s">
        <v>201</v>
      </c>
      <c r="G6" s="40" t="s">
        <v>202</v>
      </c>
      <c r="H6" s="40" t="s">
        <v>203</v>
      </c>
      <c r="I6" s="40" t="s">
        <v>204</v>
      </c>
      <c r="J6" s="40" t="s">
        <v>205</v>
      </c>
      <c r="K6" s="40" t="s">
        <v>187</v>
      </c>
      <c r="L6" s="40" t="s">
        <v>206</v>
      </c>
    </row>
    <row r="7" spans="2:52" ht="43.5" customHeight="1" x14ac:dyDescent="0.25">
      <c r="B7" s="39" t="s">
        <v>178</v>
      </c>
      <c r="C7" s="41" t="s">
        <v>207</v>
      </c>
      <c r="D7" s="41" t="s">
        <v>208</v>
      </c>
      <c r="E7" s="41" t="s">
        <v>209</v>
      </c>
      <c r="F7" s="41" t="s">
        <v>193</v>
      </c>
      <c r="G7" s="41" t="s">
        <v>210</v>
      </c>
      <c r="H7" s="41" t="s">
        <v>211</v>
      </c>
      <c r="I7" s="41" t="s">
        <v>212</v>
      </c>
      <c r="J7" s="41" t="s">
        <v>213</v>
      </c>
      <c r="K7" s="41" t="s">
        <v>187</v>
      </c>
      <c r="L7" s="41" t="s">
        <v>214</v>
      </c>
    </row>
    <row r="8" spans="2:52" ht="43.5" customHeight="1" x14ac:dyDescent="0.25">
      <c r="B8" s="39" t="s">
        <v>178</v>
      </c>
      <c r="C8" s="40" t="s">
        <v>215</v>
      </c>
      <c r="D8" s="40" t="s">
        <v>216</v>
      </c>
      <c r="E8" s="40" t="s">
        <v>217</v>
      </c>
      <c r="F8" s="40" t="s">
        <v>193</v>
      </c>
      <c r="G8" s="40" t="s">
        <v>218</v>
      </c>
      <c r="H8" s="40" t="s">
        <v>219</v>
      </c>
      <c r="I8" s="40" t="s">
        <v>220</v>
      </c>
      <c r="J8" s="40" t="s">
        <v>221</v>
      </c>
      <c r="K8" s="40" t="s">
        <v>187</v>
      </c>
      <c r="L8" s="40" t="s">
        <v>222</v>
      </c>
    </row>
    <row r="9" spans="2:52" ht="43.5" customHeight="1" x14ac:dyDescent="0.25">
      <c r="B9" s="39" t="s">
        <v>223</v>
      </c>
      <c r="C9" s="41" t="s">
        <v>224</v>
      </c>
      <c r="D9" s="41" t="s">
        <v>225</v>
      </c>
      <c r="E9" s="41" t="s">
        <v>226</v>
      </c>
      <c r="F9" s="41" t="s">
        <v>227</v>
      </c>
      <c r="G9" s="41" t="s">
        <v>228</v>
      </c>
      <c r="H9" s="41" t="s">
        <v>229</v>
      </c>
      <c r="I9" s="41" t="s">
        <v>230</v>
      </c>
      <c r="J9" s="41" t="s">
        <v>231</v>
      </c>
      <c r="K9" s="41" t="s">
        <v>187</v>
      </c>
      <c r="L9" s="41" t="s">
        <v>206</v>
      </c>
    </row>
    <row r="10" spans="2:52" ht="43.5" customHeight="1" x14ac:dyDescent="0.25">
      <c r="B10" s="39" t="s">
        <v>223</v>
      </c>
      <c r="C10" s="40" t="s">
        <v>232</v>
      </c>
      <c r="D10" s="40" t="s">
        <v>233</v>
      </c>
      <c r="E10" s="40" t="s">
        <v>234</v>
      </c>
      <c r="F10" s="40" t="s">
        <v>235</v>
      </c>
      <c r="G10" s="40" t="s">
        <v>236</v>
      </c>
      <c r="H10" s="40" t="s">
        <v>237</v>
      </c>
      <c r="I10" s="40" t="s">
        <v>238</v>
      </c>
      <c r="J10" s="40" t="s">
        <v>239</v>
      </c>
      <c r="K10" s="40" t="s">
        <v>187</v>
      </c>
      <c r="L10" s="40" t="s">
        <v>240</v>
      </c>
    </row>
    <row r="11" spans="2:52" ht="43.5" customHeight="1" x14ac:dyDescent="0.25">
      <c r="B11" s="39" t="s">
        <v>223</v>
      </c>
      <c r="C11" s="41" t="s">
        <v>241</v>
      </c>
      <c r="D11" s="41" t="s">
        <v>242</v>
      </c>
      <c r="E11" s="41" t="s">
        <v>243</v>
      </c>
      <c r="F11" s="41" t="s">
        <v>244</v>
      </c>
      <c r="G11" s="41" t="s">
        <v>245</v>
      </c>
      <c r="H11" s="41" t="s">
        <v>246</v>
      </c>
      <c r="I11" s="41" t="s">
        <v>247</v>
      </c>
      <c r="J11" s="41" t="s">
        <v>248</v>
      </c>
      <c r="K11" s="41" t="s">
        <v>187</v>
      </c>
      <c r="L11" s="41" t="s">
        <v>249</v>
      </c>
    </row>
    <row r="12" spans="2:52" ht="43.5" customHeight="1" x14ac:dyDescent="0.25">
      <c r="B12" s="39" t="s">
        <v>223</v>
      </c>
      <c r="C12" s="40" t="s">
        <v>250</v>
      </c>
      <c r="D12" s="40" t="s">
        <v>251</v>
      </c>
      <c r="E12" s="40" t="s">
        <v>252</v>
      </c>
      <c r="F12" s="40" t="s">
        <v>253</v>
      </c>
      <c r="G12" s="40" t="s">
        <v>254</v>
      </c>
      <c r="H12" s="40" t="s">
        <v>255</v>
      </c>
      <c r="I12" s="40" t="s">
        <v>256</v>
      </c>
      <c r="J12" s="40" t="s">
        <v>257</v>
      </c>
      <c r="K12" s="40" t="s">
        <v>187</v>
      </c>
      <c r="L12" s="40" t="s">
        <v>258</v>
      </c>
    </row>
    <row r="13" spans="2:52" ht="43.5" customHeight="1" x14ac:dyDescent="0.25">
      <c r="B13" s="39" t="s">
        <v>259</v>
      </c>
      <c r="C13" s="41" t="s">
        <v>260</v>
      </c>
      <c r="D13" s="41" t="s">
        <v>261</v>
      </c>
      <c r="E13" s="41" t="s">
        <v>262</v>
      </c>
      <c r="F13" s="41" t="s">
        <v>263</v>
      </c>
      <c r="G13" s="41" t="s">
        <v>264</v>
      </c>
      <c r="H13" s="41" t="s">
        <v>265</v>
      </c>
      <c r="I13" s="41" t="s">
        <v>266</v>
      </c>
      <c r="J13" s="41" t="s">
        <v>267</v>
      </c>
      <c r="K13" s="41" t="s">
        <v>268</v>
      </c>
      <c r="L13" s="41" t="s">
        <v>269</v>
      </c>
    </row>
    <row r="14" spans="2:52" ht="43.5" customHeight="1" x14ac:dyDescent="0.25">
      <c r="B14" s="39" t="s">
        <v>259</v>
      </c>
      <c r="C14" s="40" t="s">
        <v>270</v>
      </c>
      <c r="D14" s="40" t="s">
        <v>271</v>
      </c>
      <c r="E14" s="40" t="s">
        <v>272</v>
      </c>
      <c r="F14" s="40" t="s">
        <v>273</v>
      </c>
      <c r="G14" s="40" t="s">
        <v>274</v>
      </c>
      <c r="H14" s="40" t="s">
        <v>275</v>
      </c>
      <c r="I14" s="40" t="s">
        <v>276</v>
      </c>
      <c r="J14" s="40" t="s">
        <v>277</v>
      </c>
      <c r="K14" s="40" t="s">
        <v>187</v>
      </c>
      <c r="L14" s="40" t="s">
        <v>278</v>
      </c>
    </row>
    <row r="15" spans="2:52" ht="43.5" customHeight="1" x14ac:dyDescent="0.25">
      <c r="B15" s="39" t="s">
        <v>279</v>
      </c>
      <c r="C15" s="41" t="s">
        <v>280</v>
      </c>
      <c r="D15" s="41" t="s">
        <v>281</v>
      </c>
      <c r="E15" s="41" t="s">
        <v>282</v>
      </c>
      <c r="F15" s="41" t="s">
        <v>283</v>
      </c>
      <c r="G15" s="41" t="s">
        <v>284</v>
      </c>
      <c r="H15" s="41" t="s">
        <v>285</v>
      </c>
      <c r="I15" s="41" t="s">
        <v>286</v>
      </c>
      <c r="J15" s="41" t="s">
        <v>287</v>
      </c>
      <c r="K15" s="41" t="s">
        <v>288</v>
      </c>
      <c r="L15" s="41" t="s">
        <v>289</v>
      </c>
    </row>
    <row r="16" spans="2:52" ht="43.5" customHeight="1" x14ac:dyDescent="0.25">
      <c r="B16" s="39" t="s">
        <v>279</v>
      </c>
      <c r="C16" s="40" t="s">
        <v>290</v>
      </c>
      <c r="D16" s="40" t="s">
        <v>291</v>
      </c>
      <c r="E16" s="40" t="s">
        <v>292</v>
      </c>
      <c r="F16" s="40" t="s">
        <v>293</v>
      </c>
      <c r="G16" s="40" t="s">
        <v>193</v>
      </c>
      <c r="H16" s="40" t="s">
        <v>294</v>
      </c>
      <c r="I16" s="40" t="s">
        <v>295</v>
      </c>
      <c r="J16" s="40" t="s">
        <v>193</v>
      </c>
      <c r="K16" s="40" t="s">
        <v>288</v>
      </c>
      <c r="L16" s="40" t="s">
        <v>296</v>
      </c>
    </row>
    <row r="17" spans="2:12" ht="43.5" customHeight="1" x14ac:dyDescent="0.25">
      <c r="B17" s="39" t="s">
        <v>279</v>
      </c>
      <c r="C17" s="41" t="s">
        <v>297</v>
      </c>
      <c r="D17" s="41" t="s">
        <v>298</v>
      </c>
      <c r="E17" s="41" t="s">
        <v>299</v>
      </c>
      <c r="F17" s="41" t="s">
        <v>300</v>
      </c>
      <c r="G17" s="41" t="s">
        <v>301</v>
      </c>
      <c r="H17" s="41" t="s">
        <v>302</v>
      </c>
      <c r="I17" s="41" t="s">
        <v>303</v>
      </c>
      <c r="J17" s="41" t="s">
        <v>193</v>
      </c>
      <c r="K17" s="41" t="s">
        <v>288</v>
      </c>
      <c r="L17" s="41" t="s">
        <v>304</v>
      </c>
    </row>
    <row r="18" spans="2:12" ht="43.5" customHeight="1" x14ac:dyDescent="0.25">
      <c r="B18" s="39" t="s">
        <v>279</v>
      </c>
      <c r="C18" s="40" t="s">
        <v>305</v>
      </c>
      <c r="D18" s="40" t="s">
        <v>306</v>
      </c>
      <c r="E18" s="40" t="s">
        <v>307</v>
      </c>
      <c r="F18" s="40" t="s">
        <v>193</v>
      </c>
      <c r="G18" s="40" t="s">
        <v>193</v>
      </c>
      <c r="H18" s="40" t="s">
        <v>308</v>
      </c>
      <c r="I18" s="40" t="s">
        <v>309</v>
      </c>
      <c r="J18" s="40" t="s">
        <v>193</v>
      </c>
      <c r="K18" s="40" t="s">
        <v>288</v>
      </c>
      <c r="L18" s="40" t="s">
        <v>310</v>
      </c>
    </row>
    <row r="19" spans="2:12" ht="43.5" customHeight="1" x14ac:dyDescent="0.25">
      <c r="B19" s="39" t="s">
        <v>311</v>
      </c>
      <c r="C19" s="41" t="s">
        <v>312</v>
      </c>
      <c r="D19" s="41" t="s">
        <v>313</v>
      </c>
      <c r="E19" s="41" t="s">
        <v>314</v>
      </c>
      <c r="F19" s="41" t="s">
        <v>315</v>
      </c>
      <c r="G19" s="41" t="s">
        <v>193</v>
      </c>
      <c r="H19" s="41" t="s">
        <v>193</v>
      </c>
      <c r="I19" s="41" t="s">
        <v>316</v>
      </c>
      <c r="J19" s="41" t="s">
        <v>193</v>
      </c>
      <c r="K19" s="41" t="s">
        <v>187</v>
      </c>
      <c r="L19" s="41" t="s">
        <v>317</v>
      </c>
    </row>
    <row r="20" spans="2:12" ht="43.5" customHeight="1" x14ac:dyDescent="0.25">
      <c r="B20" s="39" t="s">
        <v>311</v>
      </c>
      <c r="C20" s="40" t="s">
        <v>318</v>
      </c>
      <c r="D20" s="40" t="s">
        <v>319</v>
      </c>
      <c r="E20" s="40" t="s">
        <v>320</v>
      </c>
      <c r="F20" s="40" t="s">
        <v>193</v>
      </c>
      <c r="G20" s="40" t="s">
        <v>193</v>
      </c>
      <c r="H20" s="40" t="s">
        <v>193</v>
      </c>
      <c r="I20" s="40" t="s">
        <v>321</v>
      </c>
      <c r="J20" s="40" t="s">
        <v>193</v>
      </c>
      <c r="K20" s="40" t="s">
        <v>322</v>
      </c>
      <c r="L20" s="40" t="s">
        <v>323</v>
      </c>
    </row>
    <row r="21" spans="2:12" ht="43.5" customHeight="1" x14ac:dyDescent="0.25">
      <c r="B21" s="39" t="s">
        <v>311</v>
      </c>
      <c r="C21" s="41" t="s">
        <v>324</v>
      </c>
      <c r="D21" s="41" t="s">
        <v>325</v>
      </c>
      <c r="E21" s="41" t="s">
        <v>326</v>
      </c>
      <c r="F21" s="41" t="s">
        <v>193</v>
      </c>
      <c r="G21" s="41" t="s">
        <v>327</v>
      </c>
      <c r="H21" s="41" t="s">
        <v>193</v>
      </c>
      <c r="I21" s="41" t="s">
        <v>328</v>
      </c>
      <c r="J21" s="41" t="s">
        <v>193</v>
      </c>
      <c r="K21" s="41" t="s">
        <v>187</v>
      </c>
      <c r="L21" s="41" t="s">
        <v>329</v>
      </c>
    </row>
    <row r="22" spans="2:12" ht="43.5" customHeight="1" x14ac:dyDescent="0.25">
      <c r="B22" s="39" t="s">
        <v>330</v>
      </c>
      <c r="C22" s="40" t="s">
        <v>331</v>
      </c>
      <c r="D22" s="40" t="s">
        <v>332</v>
      </c>
      <c r="E22" s="40" t="s">
        <v>333</v>
      </c>
      <c r="F22" s="40" t="s">
        <v>334</v>
      </c>
      <c r="G22" s="40" t="s">
        <v>335</v>
      </c>
      <c r="H22" s="40" t="s">
        <v>336</v>
      </c>
      <c r="I22" s="40" t="s">
        <v>337</v>
      </c>
      <c r="J22" s="40" t="s">
        <v>338</v>
      </c>
      <c r="K22" s="40" t="s">
        <v>187</v>
      </c>
      <c r="L22" s="40" t="s">
        <v>339</v>
      </c>
    </row>
    <row r="23" spans="2:12" ht="43.5" customHeight="1" x14ac:dyDescent="0.25">
      <c r="B23" s="39" t="s">
        <v>330</v>
      </c>
      <c r="C23" s="41" t="s">
        <v>340</v>
      </c>
      <c r="D23" s="41" t="s">
        <v>341</v>
      </c>
      <c r="E23" s="41" t="s">
        <v>342</v>
      </c>
      <c r="F23" s="41" t="s">
        <v>193</v>
      </c>
      <c r="G23" s="41" t="s">
        <v>343</v>
      </c>
      <c r="H23" s="41" t="s">
        <v>344</v>
      </c>
      <c r="I23" s="41" t="s">
        <v>345</v>
      </c>
      <c r="J23" s="41" t="s">
        <v>346</v>
      </c>
      <c r="K23" s="41" t="s">
        <v>187</v>
      </c>
      <c r="L23" s="41" t="s">
        <v>347</v>
      </c>
    </row>
    <row r="24" spans="2:12" ht="43.5" customHeight="1" x14ac:dyDescent="0.25">
      <c r="B24" s="39" t="s">
        <v>330</v>
      </c>
      <c r="C24" s="40" t="s">
        <v>348</v>
      </c>
      <c r="D24" s="40" t="s">
        <v>349</v>
      </c>
      <c r="E24" s="40" t="s">
        <v>350</v>
      </c>
      <c r="F24" s="40" t="s">
        <v>193</v>
      </c>
      <c r="G24" s="40" t="s">
        <v>193</v>
      </c>
      <c r="H24" s="40" t="s">
        <v>351</v>
      </c>
      <c r="I24" s="40" t="s">
        <v>352</v>
      </c>
      <c r="J24" s="40" t="s">
        <v>353</v>
      </c>
      <c r="K24" s="40" t="s">
        <v>187</v>
      </c>
      <c r="L24" s="40" t="s">
        <v>354</v>
      </c>
    </row>
    <row r="25" spans="2:12" ht="43.5" customHeight="1" x14ac:dyDescent="0.25">
      <c r="B25" s="39" t="s">
        <v>355</v>
      </c>
      <c r="C25" s="41" t="s">
        <v>356</v>
      </c>
      <c r="D25" s="41" t="s">
        <v>357</v>
      </c>
      <c r="E25" s="41" t="s">
        <v>358</v>
      </c>
      <c r="F25" s="41" t="s">
        <v>359</v>
      </c>
      <c r="G25" s="41" t="s">
        <v>193</v>
      </c>
      <c r="H25" s="41" t="s">
        <v>360</v>
      </c>
      <c r="I25" s="41" t="s">
        <v>361</v>
      </c>
      <c r="J25" s="41" t="s">
        <v>362</v>
      </c>
      <c r="K25" s="41" t="s">
        <v>363</v>
      </c>
      <c r="L25" s="41" t="s">
        <v>364</v>
      </c>
    </row>
    <row r="26" spans="2:12" ht="43.5" customHeight="1" x14ac:dyDescent="0.25">
      <c r="B26" s="39" t="s">
        <v>355</v>
      </c>
      <c r="C26" s="40" t="s">
        <v>365</v>
      </c>
      <c r="D26" s="40" t="s">
        <v>366</v>
      </c>
      <c r="E26" s="40" t="s">
        <v>367</v>
      </c>
      <c r="F26" s="40" t="s">
        <v>193</v>
      </c>
      <c r="G26" s="40" t="s">
        <v>193</v>
      </c>
      <c r="H26" s="40" t="s">
        <v>368</v>
      </c>
      <c r="I26" s="40" t="s">
        <v>369</v>
      </c>
      <c r="J26" s="40" t="s">
        <v>370</v>
      </c>
      <c r="K26" s="40" t="s">
        <v>371</v>
      </c>
      <c r="L26" s="40" t="s">
        <v>323</v>
      </c>
    </row>
    <row r="27" spans="2:12" ht="43.5" customHeight="1" x14ac:dyDescent="0.25">
      <c r="B27" s="39" t="s">
        <v>372</v>
      </c>
      <c r="C27" s="41" t="s">
        <v>373</v>
      </c>
      <c r="D27" s="41" t="s">
        <v>374</v>
      </c>
      <c r="E27" s="41" t="s">
        <v>375</v>
      </c>
      <c r="F27" s="41" t="s">
        <v>193</v>
      </c>
      <c r="G27" s="41" t="s">
        <v>376</v>
      </c>
      <c r="H27" s="41" t="s">
        <v>377</v>
      </c>
      <c r="I27" s="41" t="s">
        <v>378</v>
      </c>
      <c r="J27" s="41" t="s">
        <v>379</v>
      </c>
      <c r="K27" s="41" t="s">
        <v>187</v>
      </c>
      <c r="L27" s="41" t="s">
        <v>380</v>
      </c>
    </row>
    <row r="28" spans="2:12" ht="43.5" customHeight="1" x14ac:dyDescent="0.25">
      <c r="B28" s="39" t="s">
        <v>372</v>
      </c>
      <c r="C28" s="40" t="s">
        <v>381</v>
      </c>
      <c r="D28" s="40" t="s">
        <v>382</v>
      </c>
      <c r="E28" s="40" t="s">
        <v>383</v>
      </c>
      <c r="F28" s="40" t="s">
        <v>193</v>
      </c>
      <c r="G28" s="40" t="s">
        <v>193</v>
      </c>
      <c r="H28" s="40" t="s">
        <v>384</v>
      </c>
      <c r="I28" s="40" t="s">
        <v>385</v>
      </c>
      <c r="J28" s="40" t="s">
        <v>193</v>
      </c>
      <c r="K28" s="40" t="s">
        <v>187</v>
      </c>
      <c r="L28" s="40" t="s">
        <v>323</v>
      </c>
    </row>
    <row r="29" spans="2:12" ht="43.5" customHeight="1" x14ac:dyDescent="0.25">
      <c r="B29" s="39" t="s">
        <v>372</v>
      </c>
      <c r="C29" s="41" t="s">
        <v>386</v>
      </c>
      <c r="D29" s="41" t="s">
        <v>387</v>
      </c>
      <c r="E29" s="41" t="s">
        <v>388</v>
      </c>
      <c r="F29" s="41" t="s">
        <v>193</v>
      </c>
      <c r="G29" s="41" t="s">
        <v>193</v>
      </c>
      <c r="H29" s="41" t="s">
        <v>389</v>
      </c>
      <c r="I29" s="41" t="s">
        <v>390</v>
      </c>
      <c r="J29" s="41" t="s">
        <v>391</v>
      </c>
      <c r="K29" s="41" t="s">
        <v>187</v>
      </c>
      <c r="L29" s="41" t="s">
        <v>323</v>
      </c>
    </row>
    <row r="30" spans="2:12" ht="43.5" customHeight="1" x14ac:dyDescent="0.25">
      <c r="B30" s="39" t="s">
        <v>392</v>
      </c>
      <c r="C30" s="40" t="s">
        <v>393</v>
      </c>
      <c r="D30" s="40" t="s">
        <v>394</v>
      </c>
      <c r="E30" s="40" t="s">
        <v>395</v>
      </c>
      <c r="F30" s="40" t="s">
        <v>396</v>
      </c>
      <c r="G30" s="40" t="s">
        <v>397</v>
      </c>
      <c r="H30" s="40" t="s">
        <v>398</v>
      </c>
      <c r="I30" s="40" t="s">
        <v>399</v>
      </c>
      <c r="J30" s="40" t="s">
        <v>193</v>
      </c>
      <c r="K30" s="40" t="s">
        <v>187</v>
      </c>
      <c r="L30" s="40" t="s">
        <v>323</v>
      </c>
    </row>
    <row r="31" spans="2:12" ht="43.5" customHeight="1" x14ac:dyDescent="0.25">
      <c r="B31" s="39" t="s">
        <v>392</v>
      </c>
      <c r="C31" s="41" t="s">
        <v>400</v>
      </c>
      <c r="D31" s="41" t="s">
        <v>401</v>
      </c>
      <c r="E31" s="41" t="s">
        <v>402</v>
      </c>
      <c r="F31" s="41" t="s">
        <v>403</v>
      </c>
      <c r="G31" s="41" t="s">
        <v>404</v>
      </c>
      <c r="H31" s="41" t="s">
        <v>405</v>
      </c>
      <c r="I31" s="41" t="s">
        <v>406</v>
      </c>
      <c r="J31" s="41" t="s">
        <v>407</v>
      </c>
      <c r="K31" s="41" t="s">
        <v>187</v>
      </c>
      <c r="L31" s="41" t="s">
        <v>408</v>
      </c>
    </row>
    <row r="32" spans="2:12" ht="43.5" customHeight="1" x14ac:dyDescent="0.25">
      <c r="B32" s="39" t="s">
        <v>409</v>
      </c>
      <c r="C32" s="40" t="s">
        <v>410</v>
      </c>
      <c r="D32" s="40" t="s">
        <v>411</v>
      </c>
      <c r="E32" s="40" t="s">
        <v>412</v>
      </c>
      <c r="F32" s="40" t="s">
        <v>193</v>
      </c>
      <c r="G32" s="40" t="s">
        <v>193</v>
      </c>
      <c r="H32" s="40" t="s">
        <v>413</v>
      </c>
      <c r="I32" s="40" t="s">
        <v>414</v>
      </c>
      <c r="J32" s="40" t="s">
        <v>415</v>
      </c>
      <c r="K32" s="40" t="s">
        <v>187</v>
      </c>
      <c r="L32" s="40" t="s">
        <v>416</v>
      </c>
    </row>
    <row r="33" spans="2:12" ht="43.5" customHeight="1" x14ac:dyDescent="0.25">
      <c r="B33" s="39" t="s">
        <v>409</v>
      </c>
      <c r="C33" s="41" t="s">
        <v>417</v>
      </c>
      <c r="D33" s="41" t="s">
        <v>418</v>
      </c>
      <c r="E33" s="41" t="s">
        <v>419</v>
      </c>
      <c r="F33" s="41" t="s">
        <v>193</v>
      </c>
      <c r="G33" s="41" t="s">
        <v>420</v>
      </c>
      <c r="H33" s="41" t="s">
        <v>421</v>
      </c>
      <c r="I33" s="41" t="s">
        <v>422</v>
      </c>
      <c r="J33" s="41" t="s">
        <v>423</v>
      </c>
      <c r="K33" s="41" t="s">
        <v>187</v>
      </c>
      <c r="L33" s="41" t="s">
        <v>424</v>
      </c>
    </row>
    <row r="34" spans="2:12" ht="43.5" customHeight="1" x14ac:dyDescent="0.25">
      <c r="B34" s="39" t="s">
        <v>425</v>
      </c>
      <c r="C34" s="40" t="s">
        <v>426</v>
      </c>
      <c r="D34" s="40" t="s">
        <v>427</v>
      </c>
      <c r="E34" s="40" t="s">
        <v>428</v>
      </c>
      <c r="F34" s="40" t="s">
        <v>429</v>
      </c>
      <c r="G34" s="40" t="s">
        <v>430</v>
      </c>
      <c r="H34" s="40" t="s">
        <v>431</v>
      </c>
      <c r="I34" s="40" t="s">
        <v>432</v>
      </c>
      <c r="J34" s="40" t="s">
        <v>433</v>
      </c>
      <c r="K34" s="40" t="s">
        <v>434</v>
      </c>
      <c r="L34" s="40" t="s">
        <v>435</v>
      </c>
    </row>
    <row r="35" spans="2:12" ht="43.5" customHeight="1" x14ac:dyDescent="0.25">
      <c r="B35" s="39" t="s">
        <v>425</v>
      </c>
      <c r="C35" s="41" t="s">
        <v>436</v>
      </c>
      <c r="D35" s="41" t="s">
        <v>437</v>
      </c>
      <c r="E35" s="41" t="s">
        <v>438</v>
      </c>
      <c r="F35" s="41" t="s">
        <v>193</v>
      </c>
      <c r="G35" s="41" t="s">
        <v>439</v>
      </c>
      <c r="H35" s="41" t="s">
        <v>440</v>
      </c>
      <c r="I35" s="41" t="s">
        <v>441</v>
      </c>
      <c r="J35" s="41" t="s">
        <v>442</v>
      </c>
      <c r="K35" s="41" t="s">
        <v>443</v>
      </c>
      <c r="L35" s="41" t="s">
        <v>444</v>
      </c>
    </row>
    <row r="36" spans="2:12" ht="43.5" customHeight="1" x14ac:dyDescent="0.25">
      <c r="B36" s="39" t="s">
        <v>445</v>
      </c>
      <c r="C36" s="40" t="s">
        <v>446</v>
      </c>
      <c r="D36" s="40" t="s">
        <v>447</v>
      </c>
      <c r="E36" s="40" t="s">
        <v>448</v>
      </c>
      <c r="F36" s="40" t="s">
        <v>449</v>
      </c>
      <c r="G36" s="40" t="s">
        <v>450</v>
      </c>
      <c r="H36" s="40" t="s">
        <v>451</v>
      </c>
      <c r="I36" s="40" t="s">
        <v>452</v>
      </c>
      <c r="J36" s="40" t="s">
        <v>453</v>
      </c>
      <c r="K36" s="40" t="s">
        <v>187</v>
      </c>
      <c r="L36" s="40" t="s">
        <v>454</v>
      </c>
    </row>
  </sheetData>
  <mergeCells count="1">
    <mergeCell ref="B2:L2"/>
  </mergeCells>
  <pageMargins left="0.4" right="0.4" top="0.5" bottom="0.5" header="0.511811023622047" footer="0.51180555555555596"/>
  <pageSetup paperSize="9" fitToHeight="0" orientation="landscape" horizontalDpi="300" verticalDpi="300"/>
  <headerFooter>
    <oddFooter>&amp;L&amp;7 IPERC Normativo Perú&amp;C&amp;7 Pág. &amp;P de &amp;N&amp;R&amp;7 © Ing. Pierre R. - peru.labs.pe@gmail.com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BZ50"/>
  <sheetViews>
    <sheetView showGridLines="0" zoomScaleNormal="100" workbookViewId="0">
      <pane xSplit="9" ySplit="5" topLeftCell="J27" activePane="bottomRight" state="frozen"/>
      <selection pane="topRight" activeCell="J1" sqref="J1"/>
      <selection pane="bottomLeft" activeCell="A6" sqref="A6"/>
      <selection pane="bottomRight" activeCell="F6" sqref="F6"/>
    </sheetView>
  </sheetViews>
  <sheetFormatPr baseColWidth="10" defaultColWidth="8.7109375" defaultRowHeight="15" x14ac:dyDescent="0.25"/>
  <cols>
    <col min="2" max="2" width="5" customWidth="1"/>
    <col min="3" max="5" width="16" customWidth="1"/>
    <col min="6" max="6" width="18" customWidth="1"/>
    <col min="7" max="7" width="24" customWidth="1"/>
    <col min="8" max="8" width="11" customWidth="1"/>
    <col min="9" max="9" width="9" customWidth="1"/>
    <col min="10" max="10" width="26" customWidth="1"/>
    <col min="11" max="11" width="16" customWidth="1"/>
    <col min="12" max="13" width="26" customWidth="1"/>
    <col min="14" max="14" width="24" customWidth="1"/>
    <col min="15" max="18" width="5" customWidth="1"/>
    <col min="19" max="19" width="8" customWidth="1"/>
    <col min="20" max="20" width="6" customWidth="1"/>
    <col min="21" max="21" width="8" customWidth="1"/>
    <col min="22" max="22" width="13" customWidth="1"/>
    <col min="23" max="23" width="8" customWidth="1"/>
    <col min="24" max="24" width="16" customWidth="1"/>
    <col min="25" max="25" width="30" customWidth="1"/>
    <col min="26" max="27" width="6" customWidth="1"/>
    <col min="28" max="28" width="8" customWidth="1"/>
    <col min="29" max="29" width="7" customWidth="1"/>
    <col min="30" max="30" width="9" customWidth="1"/>
    <col min="31" max="31" width="13" customWidth="1"/>
    <col min="32" max="32" width="18" customWidth="1"/>
    <col min="33" max="33" width="12" customWidth="1"/>
    <col min="34" max="34" width="20" customWidth="1"/>
    <col min="35" max="35" width="22" customWidth="1"/>
    <col min="36" max="36" width="12" customWidth="1"/>
    <col min="37" max="37" width="14" customWidth="1"/>
    <col min="38" max="38" width="16" customWidth="1"/>
  </cols>
  <sheetData>
    <row r="1" spans="2:78" ht="15" customHeight="1" x14ac:dyDescent="0.25">
      <c r="BZ1" s="18" t="s">
        <v>0</v>
      </c>
    </row>
    <row r="2" spans="2:78" ht="24" customHeight="1" x14ac:dyDescent="0.25">
      <c r="B2" s="74" t="s">
        <v>455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</row>
    <row r="3" spans="2:78" ht="15" customHeight="1" x14ac:dyDescent="0.25">
      <c r="B3" s="42" t="s">
        <v>5</v>
      </c>
      <c r="C3" s="83" t="str">
        <f>Portada!D7</f>
        <v>AVANZADO</v>
      </c>
      <c r="D3" s="83"/>
      <c r="E3" s="83"/>
      <c r="F3" s="42" t="s">
        <v>456</v>
      </c>
      <c r="G3" s="83" t="str">
        <f>Portada!D8</f>
        <v>Oficina / Sector público</v>
      </c>
      <c r="H3" s="83"/>
      <c r="I3" s="83"/>
      <c r="J3" s="83"/>
      <c r="K3" s="83"/>
      <c r="L3" s="84" t="s">
        <v>457</v>
      </c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</row>
    <row r="4" spans="2:78" ht="42" customHeight="1" x14ac:dyDescent="0.25">
      <c r="B4" s="43" t="s">
        <v>458</v>
      </c>
      <c r="C4" s="43" t="s">
        <v>459</v>
      </c>
      <c r="D4" s="43" t="s">
        <v>460</v>
      </c>
      <c r="E4" s="43" t="s">
        <v>461</v>
      </c>
      <c r="F4" s="43" t="s">
        <v>462</v>
      </c>
      <c r="G4" s="43" t="s">
        <v>463</v>
      </c>
      <c r="H4" s="43" t="s">
        <v>464</v>
      </c>
      <c r="I4" s="43" t="s">
        <v>465</v>
      </c>
      <c r="J4" s="43" t="s">
        <v>168</v>
      </c>
      <c r="K4" s="43" t="s">
        <v>167</v>
      </c>
      <c r="L4" s="43" t="s">
        <v>169</v>
      </c>
      <c r="M4" s="43" t="s">
        <v>170</v>
      </c>
      <c r="N4" s="43" t="s">
        <v>466</v>
      </c>
      <c r="O4" s="43" t="s">
        <v>467</v>
      </c>
      <c r="P4" s="43" t="s">
        <v>468</v>
      </c>
      <c r="Q4" s="43" t="s">
        <v>469</v>
      </c>
      <c r="R4" s="43" t="s">
        <v>470</v>
      </c>
      <c r="S4" s="43" t="s">
        <v>471</v>
      </c>
      <c r="T4" s="43" t="s">
        <v>472</v>
      </c>
      <c r="U4" s="43" t="s">
        <v>473</v>
      </c>
      <c r="V4" s="43" t="s">
        <v>474</v>
      </c>
      <c r="W4" s="43" t="s">
        <v>475</v>
      </c>
      <c r="X4" s="43" t="s">
        <v>476</v>
      </c>
      <c r="Y4" s="43" t="s">
        <v>477</v>
      </c>
      <c r="Z4" s="43" t="s">
        <v>478</v>
      </c>
      <c r="AA4" s="43" t="s">
        <v>479</v>
      </c>
      <c r="AB4" s="43" t="s">
        <v>480</v>
      </c>
      <c r="AC4" s="43" t="s">
        <v>481</v>
      </c>
      <c r="AD4" s="43" t="s">
        <v>482</v>
      </c>
      <c r="AE4" s="43" t="s">
        <v>483</v>
      </c>
      <c r="AF4" s="43" t="s">
        <v>484</v>
      </c>
      <c r="AG4" s="43" t="s">
        <v>485</v>
      </c>
      <c r="AH4" s="43" t="s">
        <v>486</v>
      </c>
      <c r="AI4" s="43" t="s">
        <v>487</v>
      </c>
      <c r="AJ4" s="43" t="s">
        <v>488</v>
      </c>
      <c r="AK4" s="43" t="s">
        <v>489</v>
      </c>
      <c r="AL4" s="43" t="s">
        <v>490</v>
      </c>
    </row>
    <row r="5" spans="2:78" ht="12" customHeight="1" x14ac:dyDescent="0.25">
      <c r="B5" s="44" t="s">
        <v>491</v>
      </c>
      <c r="C5" s="44" t="s">
        <v>491</v>
      </c>
      <c r="D5" s="44" t="s">
        <v>491</v>
      </c>
      <c r="E5" s="45" t="s">
        <v>492</v>
      </c>
      <c r="F5" s="44" t="s">
        <v>491</v>
      </c>
      <c r="G5" s="44" t="s">
        <v>491</v>
      </c>
      <c r="H5" s="45" t="s">
        <v>492</v>
      </c>
      <c r="I5" s="45" t="s">
        <v>492</v>
      </c>
      <c r="J5" s="44" t="s">
        <v>491</v>
      </c>
      <c r="K5" s="44" t="s">
        <v>491</v>
      </c>
      <c r="L5" s="44" t="s">
        <v>491</v>
      </c>
      <c r="M5" s="44" t="s">
        <v>491</v>
      </c>
      <c r="N5" s="45" t="s">
        <v>492</v>
      </c>
      <c r="O5" s="45" t="s">
        <v>492</v>
      </c>
      <c r="P5" s="45" t="s">
        <v>492</v>
      </c>
      <c r="Q5" s="45" t="s">
        <v>492</v>
      </c>
      <c r="R5" s="45" t="s">
        <v>492</v>
      </c>
      <c r="S5" s="44" t="s">
        <v>491</v>
      </c>
      <c r="T5" s="44" t="s">
        <v>491</v>
      </c>
      <c r="U5" s="44" t="s">
        <v>491</v>
      </c>
      <c r="V5" s="44" t="s">
        <v>491</v>
      </c>
      <c r="W5" s="46" t="s">
        <v>493</v>
      </c>
      <c r="X5" s="46" t="s">
        <v>493</v>
      </c>
      <c r="Y5" s="44" t="s">
        <v>491</v>
      </c>
      <c r="Z5" s="46" t="s">
        <v>493</v>
      </c>
      <c r="AA5" s="46" t="s">
        <v>493</v>
      </c>
      <c r="AB5" s="46" t="s">
        <v>493</v>
      </c>
      <c r="AC5" s="46" t="s">
        <v>493</v>
      </c>
      <c r="AD5" s="46" t="s">
        <v>493</v>
      </c>
      <c r="AE5" s="46" t="s">
        <v>493</v>
      </c>
      <c r="AF5" s="45" t="s">
        <v>492</v>
      </c>
      <c r="AG5" s="45" t="s">
        <v>492</v>
      </c>
      <c r="AH5" s="46" t="s">
        <v>493</v>
      </c>
      <c r="AI5" s="46" t="s">
        <v>493</v>
      </c>
      <c r="AJ5" s="46" t="s">
        <v>493</v>
      </c>
      <c r="AK5" s="47" t="s">
        <v>494</v>
      </c>
      <c r="AL5" s="47" t="s">
        <v>494</v>
      </c>
    </row>
    <row r="6" spans="2:78" ht="39.75" customHeight="1" x14ac:dyDescent="0.25">
      <c r="B6" s="48">
        <v>1</v>
      </c>
      <c r="C6" s="49" t="s">
        <v>495</v>
      </c>
      <c r="D6" s="49" t="s">
        <v>496</v>
      </c>
      <c r="E6" s="49" t="s">
        <v>496</v>
      </c>
      <c r="F6" s="49" t="s">
        <v>497</v>
      </c>
      <c r="G6" s="49" t="s">
        <v>498</v>
      </c>
      <c r="H6" s="49" t="s">
        <v>499</v>
      </c>
      <c r="I6" s="49">
        <v>8</v>
      </c>
      <c r="J6" s="49" t="s">
        <v>305</v>
      </c>
      <c r="K6" s="49" t="s">
        <v>279</v>
      </c>
      <c r="L6" s="49" t="s">
        <v>306</v>
      </c>
      <c r="M6" s="49" t="s">
        <v>307</v>
      </c>
      <c r="N6" s="49" t="s">
        <v>500</v>
      </c>
      <c r="O6" s="49">
        <v>2</v>
      </c>
      <c r="P6" s="49">
        <v>2</v>
      </c>
      <c r="Q6" s="49">
        <v>2</v>
      </c>
      <c r="R6" s="49">
        <v>3</v>
      </c>
      <c r="S6" s="50">
        <f t="shared" ref="S6:S50" si="0">IF(COUNT(O6,P6,Q6,R6)=4,O6+P6+Q6+R6,"")</f>
        <v>9</v>
      </c>
      <c r="T6" s="49">
        <v>2</v>
      </c>
      <c r="U6" s="50">
        <f t="shared" ref="U6:U50" si="1">IF(AND(ISNUMBER(S6),ISNUMBER(T6)),S6*T6,"")</f>
        <v>18</v>
      </c>
      <c r="V6" s="50" t="str">
        <f t="shared" ref="V6:V50" si="2">IF(U6="","",IF(U6&lt;=4,"Trivial",IF(U6&lt;=8,"Tolerable",IF(U6&lt;=16,"Moderado",IF(U6&lt;=24,"Importante","Intolerable")))))</f>
        <v>Importante</v>
      </c>
      <c r="W6" s="50" t="str">
        <f t="shared" ref="W6:W50" si="3">IF(U6="","",IF(U6&gt;=9,"SÍ","NO"))</f>
        <v>SÍ</v>
      </c>
      <c r="X6" s="49" t="s">
        <v>501</v>
      </c>
      <c r="Y6" s="49" t="s">
        <v>502</v>
      </c>
      <c r="Z6" s="49">
        <v>1</v>
      </c>
      <c r="AA6" s="49">
        <v>1</v>
      </c>
      <c r="AB6" s="50">
        <f t="shared" ref="AB6:AB50" si="4">IF(COUNT(O6,Z6,AA6,R6)=4,O6+Z6+AA6+R6,"")</f>
        <v>7</v>
      </c>
      <c r="AC6" s="49">
        <v>1</v>
      </c>
      <c r="AD6" s="50">
        <f t="shared" ref="AD6:AD50" si="5">IF(AND(ISNUMBER(AB6),ISNUMBER(AC6)),AB6*AC6,"")</f>
        <v>7</v>
      </c>
      <c r="AE6" s="50" t="str">
        <f t="shared" ref="AE6:AE50" si="6">IF(AD6="","",IF(AD6&lt;=4,"Trivial",IF(AD6&lt;=8,"Tolerable",IF(AD6&lt;=16,"Moderado",IF(AD6&lt;=24,"Importante","Intolerable")))))</f>
        <v>Tolerable</v>
      </c>
      <c r="AF6" s="49" t="s">
        <v>503</v>
      </c>
      <c r="AG6" s="49" t="s">
        <v>504</v>
      </c>
      <c r="AH6" s="49" t="s">
        <v>505</v>
      </c>
      <c r="AI6" s="49" t="s">
        <v>506</v>
      </c>
      <c r="AJ6" s="49" t="s">
        <v>507</v>
      </c>
      <c r="AK6" s="49" t="s">
        <v>508</v>
      </c>
      <c r="AL6" s="49" t="s">
        <v>509</v>
      </c>
    </row>
    <row r="7" spans="2:78" ht="39.75" customHeight="1" x14ac:dyDescent="0.25">
      <c r="B7" s="51">
        <v>2</v>
      </c>
      <c r="C7" s="52" t="s">
        <v>495</v>
      </c>
      <c r="D7" s="52" t="s">
        <v>510</v>
      </c>
      <c r="E7" s="52" t="s">
        <v>510</v>
      </c>
      <c r="F7" s="52" t="s">
        <v>511</v>
      </c>
      <c r="G7" s="52" t="s">
        <v>512</v>
      </c>
      <c r="H7" s="52" t="s">
        <v>499</v>
      </c>
      <c r="I7" s="52">
        <v>4</v>
      </c>
      <c r="J7" s="52" t="s">
        <v>373</v>
      </c>
      <c r="K7" s="52" t="s">
        <v>372</v>
      </c>
      <c r="L7" s="52" t="s">
        <v>374</v>
      </c>
      <c r="M7" s="52" t="s">
        <v>375</v>
      </c>
      <c r="N7" s="52" t="s">
        <v>513</v>
      </c>
      <c r="O7" s="52">
        <v>2</v>
      </c>
      <c r="P7" s="52">
        <v>2</v>
      </c>
      <c r="Q7" s="52">
        <v>2</v>
      </c>
      <c r="R7" s="52">
        <v>3</v>
      </c>
      <c r="S7" s="53">
        <f t="shared" si="0"/>
        <v>9</v>
      </c>
      <c r="T7" s="52">
        <v>2</v>
      </c>
      <c r="U7" s="53">
        <f t="shared" si="1"/>
        <v>18</v>
      </c>
      <c r="V7" s="53" t="str">
        <f t="shared" si="2"/>
        <v>Importante</v>
      </c>
      <c r="W7" s="53" t="str">
        <f t="shared" si="3"/>
        <v>SÍ</v>
      </c>
      <c r="X7" s="52" t="s">
        <v>501</v>
      </c>
      <c r="Y7" s="52" t="s">
        <v>514</v>
      </c>
      <c r="Z7" s="52">
        <v>1</v>
      </c>
      <c r="AA7" s="52">
        <v>1</v>
      </c>
      <c r="AB7" s="53">
        <f t="shared" si="4"/>
        <v>7</v>
      </c>
      <c r="AC7" s="52">
        <v>1</v>
      </c>
      <c r="AD7" s="53">
        <f t="shared" si="5"/>
        <v>7</v>
      </c>
      <c r="AE7" s="53" t="str">
        <f t="shared" si="6"/>
        <v>Tolerable</v>
      </c>
      <c r="AF7" s="52" t="s">
        <v>515</v>
      </c>
      <c r="AG7" s="52" t="s">
        <v>516</v>
      </c>
      <c r="AH7" s="52" t="s">
        <v>517</v>
      </c>
      <c r="AI7" s="52" t="s">
        <v>518</v>
      </c>
      <c r="AJ7" s="52" t="s">
        <v>519</v>
      </c>
      <c r="AK7" s="52" t="s">
        <v>508</v>
      </c>
      <c r="AL7" s="52" t="s">
        <v>520</v>
      </c>
    </row>
    <row r="8" spans="2:78" ht="39.75" customHeight="1" x14ac:dyDescent="0.25">
      <c r="B8" s="48">
        <v>3</v>
      </c>
      <c r="C8" s="49" t="s">
        <v>521</v>
      </c>
      <c r="D8" s="49" t="s">
        <v>522</v>
      </c>
      <c r="E8" s="49" t="s">
        <v>522</v>
      </c>
      <c r="F8" s="49" t="s">
        <v>523</v>
      </c>
      <c r="G8" s="49" t="s">
        <v>524</v>
      </c>
      <c r="H8" s="49" t="s">
        <v>499</v>
      </c>
      <c r="I8" s="49">
        <v>6</v>
      </c>
      <c r="J8" s="49" t="s">
        <v>280</v>
      </c>
      <c r="K8" s="49" t="s">
        <v>279</v>
      </c>
      <c r="L8" s="49" t="s">
        <v>281</v>
      </c>
      <c r="M8" s="49" t="s">
        <v>282</v>
      </c>
      <c r="N8" s="49" t="s">
        <v>525</v>
      </c>
      <c r="O8" s="49">
        <v>2</v>
      </c>
      <c r="P8" s="49">
        <v>3</v>
      </c>
      <c r="Q8" s="49">
        <v>2</v>
      </c>
      <c r="R8" s="49">
        <v>3</v>
      </c>
      <c r="S8" s="50">
        <f t="shared" si="0"/>
        <v>10</v>
      </c>
      <c r="T8" s="49">
        <v>2</v>
      </c>
      <c r="U8" s="50">
        <f t="shared" si="1"/>
        <v>20</v>
      </c>
      <c r="V8" s="50" t="str">
        <f t="shared" si="2"/>
        <v>Importante</v>
      </c>
      <c r="W8" s="50" t="str">
        <f t="shared" si="3"/>
        <v>SÍ</v>
      </c>
      <c r="X8" s="49" t="s">
        <v>526</v>
      </c>
      <c r="Y8" s="49" t="s">
        <v>527</v>
      </c>
      <c r="Z8" s="49">
        <v>2</v>
      </c>
      <c r="AA8" s="49">
        <v>1</v>
      </c>
      <c r="AB8" s="50">
        <f t="shared" si="4"/>
        <v>8</v>
      </c>
      <c r="AC8" s="49">
        <v>1</v>
      </c>
      <c r="AD8" s="50">
        <f t="shared" si="5"/>
        <v>8</v>
      </c>
      <c r="AE8" s="50" t="str">
        <f t="shared" si="6"/>
        <v>Tolerable</v>
      </c>
      <c r="AF8" s="49" t="s">
        <v>528</v>
      </c>
      <c r="AG8" s="49" t="s">
        <v>529</v>
      </c>
      <c r="AH8" s="49" t="s">
        <v>530</v>
      </c>
      <c r="AI8" s="49" t="s">
        <v>531</v>
      </c>
      <c r="AJ8" s="49" t="s">
        <v>532</v>
      </c>
      <c r="AK8" s="49" t="s">
        <v>508</v>
      </c>
      <c r="AL8" s="49" t="s">
        <v>533</v>
      </c>
    </row>
    <row r="9" spans="2:78" ht="39.75" customHeight="1" x14ac:dyDescent="0.25">
      <c r="B9" s="51">
        <v>4</v>
      </c>
      <c r="C9" s="52" t="s">
        <v>534</v>
      </c>
      <c r="D9" s="52" t="s">
        <v>535</v>
      </c>
      <c r="E9" s="52" t="s">
        <v>535</v>
      </c>
      <c r="F9" s="52" t="s">
        <v>536</v>
      </c>
      <c r="G9" s="52" t="s">
        <v>537</v>
      </c>
      <c r="H9" s="52" t="s">
        <v>499</v>
      </c>
      <c r="I9" s="52">
        <v>12</v>
      </c>
      <c r="J9" s="52" t="s">
        <v>331</v>
      </c>
      <c r="K9" s="52" t="s">
        <v>330</v>
      </c>
      <c r="L9" s="52" t="s">
        <v>332</v>
      </c>
      <c r="M9" s="52" t="s">
        <v>333</v>
      </c>
      <c r="N9" s="52" t="s">
        <v>538</v>
      </c>
      <c r="O9" s="52">
        <v>3</v>
      </c>
      <c r="P9" s="52">
        <v>2</v>
      </c>
      <c r="Q9" s="52">
        <v>2</v>
      </c>
      <c r="R9" s="52">
        <v>3</v>
      </c>
      <c r="S9" s="53">
        <f t="shared" si="0"/>
        <v>10</v>
      </c>
      <c r="T9" s="52">
        <v>3</v>
      </c>
      <c r="U9" s="53">
        <f t="shared" si="1"/>
        <v>30</v>
      </c>
      <c r="V9" s="53" t="str">
        <f t="shared" si="2"/>
        <v>Intolerable</v>
      </c>
      <c r="W9" s="53" t="str">
        <f t="shared" si="3"/>
        <v>SÍ</v>
      </c>
      <c r="X9" s="52" t="s">
        <v>526</v>
      </c>
      <c r="Y9" s="52" t="s">
        <v>539</v>
      </c>
      <c r="Z9" s="52">
        <v>1</v>
      </c>
      <c r="AA9" s="52">
        <v>1</v>
      </c>
      <c r="AB9" s="53">
        <f t="shared" si="4"/>
        <v>8</v>
      </c>
      <c r="AC9" s="52">
        <v>2</v>
      </c>
      <c r="AD9" s="53">
        <f t="shared" si="5"/>
        <v>16</v>
      </c>
      <c r="AE9" s="53" t="str">
        <f t="shared" si="6"/>
        <v>Moderado</v>
      </c>
      <c r="AF9" s="52" t="s">
        <v>540</v>
      </c>
      <c r="AG9" s="52" t="s">
        <v>504</v>
      </c>
      <c r="AH9" s="52" t="s">
        <v>541</v>
      </c>
      <c r="AI9" s="52" t="s">
        <v>542</v>
      </c>
      <c r="AJ9" s="52" t="s">
        <v>507</v>
      </c>
      <c r="AK9" s="52" t="s">
        <v>508</v>
      </c>
      <c r="AL9" s="52" t="s">
        <v>543</v>
      </c>
    </row>
    <row r="10" spans="2:78" ht="39.75" customHeight="1" x14ac:dyDescent="0.25">
      <c r="B10" s="48">
        <v>5</v>
      </c>
      <c r="C10" s="49" t="s">
        <v>544</v>
      </c>
      <c r="D10" s="49" t="s">
        <v>545</v>
      </c>
      <c r="E10" s="49" t="s">
        <v>545</v>
      </c>
      <c r="F10" s="49" t="s">
        <v>546</v>
      </c>
      <c r="G10" s="49" t="s">
        <v>547</v>
      </c>
      <c r="H10" s="49" t="s">
        <v>548</v>
      </c>
      <c r="I10" s="49">
        <v>10</v>
      </c>
      <c r="J10" s="49" t="s">
        <v>426</v>
      </c>
      <c r="K10" s="49" t="s">
        <v>425</v>
      </c>
      <c r="L10" s="49" t="s">
        <v>427</v>
      </c>
      <c r="M10" s="49" t="s">
        <v>428</v>
      </c>
      <c r="N10" s="49" t="s">
        <v>549</v>
      </c>
      <c r="O10" s="49">
        <v>2</v>
      </c>
      <c r="P10" s="49">
        <v>3</v>
      </c>
      <c r="Q10" s="49">
        <v>3</v>
      </c>
      <c r="R10" s="49">
        <v>3</v>
      </c>
      <c r="S10" s="50">
        <f t="shared" si="0"/>
        <v>11</v>
      </c>
      <c r="T10" s="49">
        <v>3</v>
      </c>
      <c r="U10" s="50">
        <f t="shared" si="1"/>
        <v>33</v>
      </c>
      <c r="V10" s="50" t="str">
        <f t="shared" si="2"/>
        <v>Intolerable</v>
      </c>
      <c r="W10" s="50" t="str">
        <f t="shared" si="3"/>
        <v>SÍ</v>
      </c>
      <c r="X10" s="49" t="s">
        <v>526</v>
      </c>
      <c r="Y10" s="49" t="s">
        <v>550</v>
      </c>
      <c r="Z10" s="49">
        <v>1</v>
      </c>
      <c r="AA10" s="49">
        <v>1</v>
      </c>
      <c r="AB10" s="50">
        <f t="shared" si="4"/>
        <v>7</v>
      </c>
      <c r="AC10" s="49">
        <v>2</v>
      </c>
      <c r="AD10" s="50">
        <f t="shared" si="5"/>
        <v>14</v>
      </c>
      <c r="AE10" s="50" t="str">
        <f t="shared" si="6"/>
        <v>Moderado</v>
      </c>
      <c r="AF10" s="49" t="s">
        <v>551</v>
      </c>
      <c r="AG10" s="49" t="s">
        <v>552</v>
      </c>
      <c r="AH10" s="49" t="s">
        <v>553</v>
      </c>
      <c r="AI10" s="49" t="s">
        <v>554</v>
      </c>
      <c r="AJ10" s="49" t="s">
        <v>532</v>
      </c>
      <c r="AK10" s="49" t="s">
        <v>508</v>
      </c>
      <c r="AL10" s="49" t="s">
        <v>555</v>
      </c>
    </row>
    <row r="11" spans="2:78" ht="39.75" customHeight="1" x14ac:dyDescent="0.25">
      <c r="B11" s="51">
        <v>6</v>
      </c>
      <c r="C11" s="52" t="s">
        <v>556</v>
      </c>
      <c r="D11" s="52" t="s">
        <v>557</v>
      </c>
      <c r="E11" s="52" t="s">
        <v>557</v>
      </c>
      <c r="F11" s="52" t="s">
        <v>558</v>
      </c>
      <c r="G11" s="52" t="s">
        <v>559</v>
      </c>
      <c r="H11" s="52" t="s">
        <v>499</v>
      </c>
      <c r="I11" s="52">
        <v>5</v>
      </c>
      <c r="J11" s="52" t="s">
        <v>270</v>
      </c>
      <c r="K11" s="52" t="s">
        <v>259</v>
      </c>
      <c r="L11" s="52" t="s">
        <v>271</v>
      </c>
      <c r="M11" s="52" t="s">
        <v>272</v>
      </c>
      <c r="N11" s="52" t="s">
        <v>560</v>
      </c>
      <c r="O11" s="52">
        <v>2</v>
      </c>
      <c r="P11" s="52">
        <v>2</v>
      </c>
      <c r="Q11" s="52">
        <v>2</v>
      </c>
      <c r="R11" s="52">
        <v>3</v>
      </c>
      <c r="S11" s="53">
        <f t="shared" si="0"/>
        <v>9</v>
      </c>
      <c r="T11" s="52">
        <v>3</v>
      </c>
      <c r="U11" s="53">
        <f t="shared" si="1"/>
        <v>27</v>
      </c>
      <c r="V11" s="53" t="str">
        <f t="shared" si="2"/>
        <v>Intolerable</v>
      </c>
      <c r="W11" s="53" t="str">
        <f t="shared" si="3"/>
        <v>SÍ</v>
      </c>
      <c r="X11" s="52" t="s">
        <v>501</v>
      </c>
      <c r="Y11" s="52" t="s">
        <v>561</v>
      </c>
      <c r="Z11" s="52">
        <v>1</v>
      </c>
      <c r="AA11" s="52">
        <v>1</v>
      </c>
      <c r="AB11" s="53">
        <f t="shared" si="4"/>
        <v>7</v>
      </c>
      <c r="AC11" s="52">
        <v>2</v>
      </c>
      <c r="AD11" s="53">
        <f t="shared" si="5"/>
        <v>14</v>
      </c>
      <c r="AE11" s="53" t="str">
        <f t="shared" si="6"/>
        <v>Moderado</v>
      </c>
      <c r="AF11" s="52" t="s">
        <v>562</v>
      </c>
      <c r="AG11" s="52" t="s">
        <v>504</v>
      </c>
      <c r="AH11" s="52" t="s">
        <v>563</v>
      </c>
      <c r="AI11" s="52" t="s">
        <v>564</v>
      </c>
      <c r="AJ11" s="52" t="s">
        <v>507</v>
      </c>
      <c r="AK11" s="52" t="s">
        <v>508</v>
      </c>
      <c r="AL11" s="52" t="s">
        <v>543</v>
      </c>
    </row>
    <row r="12" spans="2:78" ht="39.75" customHeight="1" x14ac:dyDescent="0.25">
      <c r="B12" s="48">
        <v>7</v>
      </c>
      <c r="C12" s="49" t="s">
        <v>495</v>
      </c>
      <c r="D12" s="49" t="s">
        <v>565</v>
      </c>
      <c r="E12" s="49" t="s">
        <v>565</v>
      </c>
      <c r="F12" s="49" t="s">
        <v>566</v>
      </c>
      <c r="G12" s="49" t="s">
        <v>567</v>
      </c>
      <c r="H12" s="49" t="s">
        <v>548</v>
      </c>
      <c r="I12" s="49">
        <v>2</v>
      </c>
      <c r="J12" s="49" t="s">
        <v>356</v>
      </c>
      <c r="K12" s="49" t="s">
        <v>355</v>
      </c>
      <c r="L12" s="49" t="s">
        <v>357</v>
      </c>
      <c r="M12" s="49" t="s">
        <v>358</v>
      </c>
      <c r="N12" s="49" t="s">
        <v>568</v>
      </c>
      <c r="O12" s="49">
        <v>1</v>
      </c>
      <c r="P12" s="49">
        <v>2</v>
      </c>
      <c r="Q12" s="49">
        <v>2</v>
      </c>
      <c r="R12" s="49">
        <v>2</v>
      </c>
      <c r="S12" s="50">
        <f t="shared" si="0"/>
        <v>7</v>
      </c>
      <c r="T12" s="49">
        <v>3</v>
      </c>
      <c r="U12" s="50">
        <f t="shared" si="1"/>
        <v>21</v>
      </c>
      <c r="V12" s="50" t="str">
        <f t="shared" si="2"/>
        <v>Importante</v>
      </c>
      <c r="W12" s="50" t="str">
        <f t="shared" si="3"/>
        <v>SÍ</v>
      </c>
      <c r="X12" s="49" t="s">
        <v>501</v>
      </c>
      <c r="Y12" s="49" t="s">
        <v>569</v>
      </c>
      <c r="Z12" s="49">
        <v>1</v>
      </c>
      <c r="AA12" s="49">
        <v>1</v>
      </c>
      <c r="AB12" s="50">
        <f t="shared" si="4"/>
        <v>5</v>
      </c>
      <c r="AC12" s="49">
        <v>2</v>
      </c>
      <c r="AD12" s="50">
        <f t="shared" si="5"/>
        <v>10</v>
      </c>
      <c r="AE12" s="50" t="str">
        <f t="shared" si="6"/>
        <v>Moderado</v>
      </c>
      <c r="AF12" s="49" t="s">
        <v>570</v>
      </c>
      <c r="AG12" s="49" t="s">
        <v>571</v>
      </c>
      <c r="AH12" s="49" t="s">
        <v>371</v>
      </c>
      <c r="AI12" s="49" t="s">
        <v>572</v>
      </c>
      <c r="AJ12" s="49" t="s">
        <v>532</v>
      </c>
      <c r="AK12" s="49" t="s">
        <v>508</v>
      </c>
      <c r="AL12" s="49" t="s">
        <v>573</v>
      </c>
    </row>
    <row r="13" spans="2:78" ht="39.75" customHeight="1" x14ac:dyDescent="0.25">
      <c r="B13" s="51">
        <v>8</v>
      </c>
      <c r="C13" s="52" t="s">
        <v>574</v>
      </c>
      <c r="D13" s="52" t="s">
        <v>575</v>
      </c>
      <c r="E13" s="52" t="s">
        <v>575</v>
      </c>
      <c r="F13" s="52" t="s">
        <v>576</v>
      </c>
      <c r="G13" s="52" t="s">
        <v>577</v>
      </c>
      <c r="H13" s="52" t="s">
        <v>499</v>
      </c>
      <c r="I13" s="52">
        <v>3</v>
      </c>
      <c r="J13" s="52" t="s">
        <v>410</v>
      </c>
      <c r="K13" s="52" t="s">
        <v>409</v>
      </c>
      <c r="L13" s="52" t="s">
        <v>411</v>
      </c>
      <c r="M13" s="52" t="s">
        <v>412</v>
      </c>
      <c r="N13" s="52" t="s">
        <v>578</v>
      </c>
      <c r="O13" s="52">
        <v>1</v>
      </c>
      <c r="P13" s="52">
        <v>2</v>
      </c>
      <c r="Q13" s="52">
        <v>1</v>
      </c>
      <c r="R13" s="52">
        <v>3</v>
      </c>
      <c r="S13" s="53">
        <f t="shared" si="0"/>
        <v>7</v>
      </c>
      <c r="T13" s="52">
        <v>3</v>
      </c>
      <c r="U13" s="53">
        <f t="shared" si="1"/>
        <v>21</v>
      </c>
      <c r="V13" s="53" t="str">
        <f t="shared" si="2"/>
        <v>Importante</v>
      </c>
      <c r="W13" s="53" t="str">
        <f t="shared" si="3"/>
        <v>SÍ</v>
      </c>
      <c r="X13" s="52" t="s">
        <v>501</v>
      </c>
      <c r="Y13" s="52" t="s">
        <v>579</v>
      </c>
      <c r="Z13" s="52">
        <v>1</v>
      </c>
      <c r="AA13" s="52">
        <v>1</v>
      </c>
      <c r="AB13" s="53">
        <f t="shared" si="4"/>
        <v>6</v>
      </c>
      <c r="AC13" s="52">
        <v>2</v>
      </c>
      <c r="AD13" s="53">
        <f t="shared" si="5"/>
        <v>12</v>
      </c>
      <c r="AE13" s="53" t="str">
        <f t="shared" si="6"/>
        <v>Moderado</v>
      </c>
      <c r="AF13" s="52" t="s">
        <v>580</v>
      </c>
      <c r="AG13" s="52" t="s">
        <v>504</v>
      </c>
      <c r="AH13" s="52" t="s">
        <v>517</v>
      </c>
      <c r="AI13" s="52" t="s">
        <v>581</v>
      </c>
      <c r="AJ13" s="52" t="s">
        <v>507</v>
      </c>
      <c r="AK13" s="52" t="s">
        <v>508</v>
      </c>
      <c r="AL13" s="52" t="s">
        <v>582</v>
      </c>
    </row>
    <row r="14" spans="2:78" ht="39.75" customHeight="1" x14ac:dyDescent="0.25">
      <c r="B14" s="48">
        <v>9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0" t="str">
        <f t="shared" si="0"/>
        <v/>
      </c>
      <c r="T14" s="54"/>
      <c r="U14" s="50" t="str">
        <f t="shared" si="1"/>
        <v/>
      </c>
      <c r="V14" s="50" t="str">
        <f t="shared" si="2"/>
        <v/>
      </c>
      <c r="W14" s="50" t="str">
        <f t="shared" si="3"/>
        <v/>
      </c>
      <c r="X14" s="54"/>
      <c r="Y14" s="54"/>
      <c r="Z14" s="54"/>
      <c r="AA14" s="54"/>
      <c r="AB14" s="50" t="str">
        <f t="shared" si="4"/>
        <v/>
      </c>
      <c r="AC14" s="54"/>
      <c r="AD14" s="50" t="str">
        <f t="shared" si="5"/>
        <v/>
      </c>
      <c r="AE14" s="50" t="str">
        <f t="shared" si="6"/>
        <v/>
      </c>
      <c r="AF14" s="54"/>
      <c r="AG14" s="54"/>
      <c r="AH14" s="54"/>
      <c r="AI14" s="54"/>
      <c r="AJ14" s="54"/>
      <c r="AK14" s="54"/>
      <c r="AL14" s="54"/>
    </row>
    <row r="15" spans="2:78" ht="39.75" customHeight="1" x14ac:dyDescent="0.25">
      <c r="B15" s="51">
        <v>10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3" t="str">
        <f t="shared" si="0"/>
        <v/>
      </c>
      <c r="T15" s="55"/>
      <c r="U15" s="53" t="str">
        <f t="shared" si="1"/>
        <v/>
      </c>
      <c r="V15" s="53" t="str">
        <f t="shared" si="2"/>
        <v/>
      </c>
      <c r="W15" s="53" t="str">
        <f t="shared" si="3"/>
        <v/>
      </c>
      <c r="X15" s="55"/>
      <c r="Y15" s="55"/>
      <c r="Z15" s="55"/>
      <c r="AA15" s="55"/>
      <c r="AB15" s="53" t="str">
        <f t="shared" si="4"/>
        <v/>
      </c>
      <c r="AC15" s="55"/>
      <c r="AD15" s="53" t="str">
        <f t="shared" si="5"/>
        <v/>
      </c>
      <c r="AE15" s="53" t="str">
        <f t="shared" si="6"/>
        <v/>
      </c>
      <c r="AF15" s="55"/>
      <c r="AG15" s="55"/>
      <c r="AH15" s="55"/>
      <c r="AI15" s="55"/>
      <c r="AJ15" s="55"/>
      <c r="AK15" s="55"/>
      <c r="AL15" s="55"/>
    </row>
    <row r="16" spans="2:78" ht="39.75" customHeight="1" x14ac:dyDescent="0.25">
      <c r="B16" s="48">
        <v>11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0" t="str">
        <f t="shared" si="0"/>
        <v/>
      </c>
      <c r="T16" s="54"/>
      <c r="U16" s="50" t="str">
        <f t="shared" si="1"/>
        <v/>
      </c>
      <c r="V16" s="50" t="str">
        <f t="shared" si="2"/>
        <v/>
      </c>
      <c r="W16" s="50" t="str">
        <f t="shared" si="3"/>
        <v/>
      </c>
      <c r="X16" s="54"/>
      <c r="Y16" s="54"/>
      <c r="Z16" s="54"/>
      <c r="AA16" s="54"/>
      <c r="AB16" s="50" t="str">
        <f t="shared" si="4"/>
        <v/>
      </c>
      <c r="AC16" s="54"/>
      <c r="AD16" s="50" t="str">
        <f t="shared" si="5"/>
        <v/>
      </c>
      <c r="AE16" s="50" t="str">
        <f t="shared" si="6"/>
        <v/>
      </c>
      <c r="AF16" s="54"/>
      <c r="AG16" s="54"/>
      <c r="AH16" s="54"/>
      <c r="AI16" s="54"/>
      <c r="AJ16" s="54"/>
      <c r="AK16" s="54"/>
      <c r="AL16" s="54"/>
    </row>
    <row r="17" spans="2:38" ht="39.75" customHeight="1" x14ac:dyDescent="0.25">
      <c r="B17" s="51">
        <v>12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3" t="str">
        <f t="shared" si="0"/>
        <v/>
      </c>
      <c r="T17" s="55"/>
      <c r="U17" s="53" t="str">
        <f t="shared" si="1"/>
        <v/>
      </c>
      <c r="V17" s="53" t="str">
        <f t="shared" si="2"/>
        <v/>
      </c>
      <c r="W17" s="53" t="str">
        <f t="shared" si="3"/>
        <v/>
      </c>
      <c r="X17" s="55"/>
      <c r="Y17" s="55"/>
      <c r="Z17" s="55"/>
      <c r="AA17" s="55"/>
      <c r="AB17" s="53" t="str">
        <f t="shared" si="4"/>
        <v/>
      </c>
      <c r="AC17" s="55"/>
      <c r="AD17" s="53" t="str">
        <f t="shared" si="5"/>
        <v/>
      </c>
      <c r="AE17" s="53" t="str">
        <f t="shared" si="6"/>
        <v/>
      </c>
      <c r="AF17" s="55"/>
      <c r="AG17" s="55"/>
      <c r="AH17" s="55"/>
      <c r="AI17" s="55"/>
      <c r="AJ17" s="55"/>
      <c r="AK17" s="55"/>
      <c r="AL17" s="55"/>
    </row>
    <row r="18" spans="2:38" ht="39.75" customHeight="1" x14ac:dyDescent="0.25">
      <c r="B18" s="48">
        <v>13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0" t="str">
        <f t="shared" si="0"/>
        <v/>
      </c>
      <c r="T18" s="54"/>
      <c r="U18" s="50" t="str">
        <f t="shared" si="1"/>
        <v/>
      </c>
      <c r="V18" s="50" t="str">
        <f t="shared" si="2"/>
        <v/>
      </c>
      <c r="W18" s="50" t="str">
        <f t="shared" si="3"/>
        <v/>
      </c>
      <c r="X18" s="54"/>
      <c r="Y18" s="54"/>
      <c r="Z18" s="54"/>
      <c r="AA18" s="54"/>
      <c r="AB18" s="50" t="str">
        <f t="shared" si="4"/>
        <v/>
      </c>
      <c r="AC18" s="54"/>
      <c r="AD18" s="50" t="str">
        <f t="shared" si="5"/>
        <v/>
      </c>
      <c r="AE18" s="50" t="str">
        <f t="shared" si="6"/>
        <v/>
      </c>
      <c r="AF18" s="54"/>
      <c r="AG18" s="54"/>
      <c r="AH18" s="54"/>
      <c r="AI18" s="54"/>
      <c r="AJ18" s="54"/>
      <c r="AK18" s="54"/>
      <c r="AL18" s="54"/>
    </row>
    <row r="19" spans="2:38" ht="39.75" customHeight="1" x14ac:dyDescent="0.25">
      <c r="B19" s="51">
        <v>14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3" t="str">
        <f t="shared" si="0"/>
        <v/>
      </c>
      <c r="T19" s="55"/>
      <c r="U19" s="53" t="str">
        <f t="shared" si="1"/>
        <v/>
      </c>
      <c r="V19" s="53" t="str">
        <f t="shared" si="2"/>
        <v/>
      </c>
      <c r="W19" s="53" t="str">
        <f t="shared" si="3"/>
        <v/>
      </c>
      <c r="X19" s="55"/>
      <c r="Y19" s="55"/>
      <c r="Z19" s="55"/>
      <c r="AA19" s="55"/>
      <c r="AB19" s="53" t="str">
        <f t="shared" si="4"/>
        <v/>
      </c>
      <c r="AC19" s="55"/>
      <c r="AD19" s="53" t="str">
        <f t="shared" si="5"/>
        <v/>
      </c>
      <c r="AE19" s="53" t="str">
        <f t="shared" si="6"/>
        <v/>
      </c>
      <c r="AF19" s="55"/>
      <c r="AG19" s="55"/>
      <c r="AH19" s="55"/>
      <c r="AI19" s="55"/>
      <c r="AJ19" s="55"/>
      <c r="AK19" s="55"/>
      <c r="AL19" s="55"/>
    </row>
    <row r="20" spans="2:38" ht="39.75" customHeight="1" x14ac:dyDescent="0.25">
      <c r="B20" s="48">
        <v>15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0" t="str">
        <f t="shared" si="0"/>
        <v/>
      </c>
      <c r="T20" s="54"/>
      <c r="U20" s="50" t="str">
        <f t="shared" si="1"/>
        <v/>
      </c>
      <c r="V20" s="50" t="str">
        <f t="shared" si="2"/>
        <v/>
      </c>
      <c r="W20" s="50" t="str">
        <f t="shared" si="3"/>
        <v/>
      </c>
      <c r="X20" s="54"/>
      <c r="Y20" s="54"/>
      <c r="Z20" s="54"/>
      <c r="AA20" s="54"/>
      <c r="AB20" s="50" t="str">
        <f t="shared" si="4"/>
        <v/>
      </c>
      <c r="AC20" s="54"/>
      <c r="AD20" s="50" t="str">
        <f t="shared" si="5"/>
        <v/>
      </c>
      <c r="AE20" s="50" t="str">
        <f t="shared" si="6"/>
        <v/>
      </c>
      <c r="AF20" s="54"/>
      <c r="AG20" s="54"/>
      <c r="AH20" s="54"/>
      <c r="AI20" s="54"/>
      <c r="AJ20" s="54"/>
      <c r="AK20" s="54"/>
      <c r="AL20" s="54"/>
    </row>
    <row r="21" spans="2:38" ht="39.75" customHeight="1" x14ac:dyDescent="0.25">
      <c r="B21" s="51">
        <v>16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3" t="str">
        <f t="shared" si="0"/>
        <v/>
      </c>
      <c r="T21" s="55"/>
      <c r="U21" s="53" t="str">
        <f t="shared" si="1"/>
        <v/>
      </c>
      <c r="V21" s="53" t="str">
        <f t="shared" si="2"/>
        <v/>
      </c>
      <c r="W21" s="53" t="str">
        <f t="shared" si="3"/>
        <v/>
      </c>
      <c r="X21" s="55"/>
      <c r="Y21" s="55"/>
      <c r="Z21" s="55"/>
      <c r="AA21" s="55"/>
      <c r="AB21" s="53" t="str">
        <f t="shared" si="4"/>
        <v/>
      </c>
      <c r="AC21" s="55"/>
      <c r="AD21" s="53" t="str">
        <f t="shared" si="5"/>
        <v/>
      </c>
      <c r="AE21" s="53" t="str">
        <f t="shared" si="6"/>
        <v/>
      </c>
      <c r="AF21" s="55"/>
      <c r="AG21" s="55"/>
      <c r="AH21" s="55"/>
      <c r="AI21" s="55"/>
      <c r="AJ21" s="55"/>
      <c r="AK21" s="55"/>
      <c r="AL21" s="55"/>
    </row>
    <row r="22" spans="2:38" ht="39.75" customHeight="1" x14ac:dyDescent="0.25">
      <c r="B22" s="48">
        <v>17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0" t="str">
        <f t="shared" si="0"/>
        <v/>
      </c>
      <c r="T22" s="54"/>
      <c r="U22" s="50" t="str">
        <f t="shared" si="1"/>
        <v/>
      </c>
      <c r="V22" s="50" t="str">
        <f t="shared" si="2"/>
        <v/>
      </c>
      <c r="W22" s="50" t="str">
        <f t="shared" si="3"/>
        <v/>
      </c>
      <c r="X22" s="54"/>
      <c r="Y22" s="54"/>
      <c r="Z22" s="54"/>
      <c r="AA22" s="54"/>
      <c r="AB22" s="50" t="str">
        <f t="shared" si="4"/>
        <v/>
      </c>
      <c r="AC22" s="54"/>
      <c r="AD22" s="50" t="str">
        <f t="shared" si="5"/>
        <v/>
      </c>
      <c r="AE22" s="50" t="str">
        <f t="shared" si="6"/>
        <v/>
      </c>
      <c r="AF22" s="54"/>
      <c r="AG22" s="54"/>
      <c r="AH22" s="54"/>
      <c r="AI22" s="54"/>
      <c r="AJ22" s="54"/>
      <c r="AK22" s="54"/>
      <c r="AL22" s="54"/>
    </row>
    <row r="23" spans="2:38" ht="39.75" customHeight="1" x14ac:dyDescent="0.25">
      <c r="B23" s="51">
        <v>18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3" t="str">
        <f t="shared" si="0"/>
        <v/>
      </c>
      <c r="T23" s="55"/>
      <c r="U23" s="53" t="str">
        <f t="shared" si="1"/>
        <v/>
      </c>
      <c r="V23" s="53" t="str">
        <f t="shared" si="2"/>
        <v/>
      </c>
      <c r="W23" s="53" t="str">
        <f t="shared" si="3"/>
        <v/>
      </c>
      <c r="X23" s="55"/>
      <c r="Y23" s="55"/>
      <c r="Z23" s="55"/>
      <c r="AA23" s="55"/>
      <c r="AB23" s="53" t="str">
        <f t="shared" si="4"/>
        <v/>
      </c>
      <c r="AC23" s="55"/>
      <c r="AD23" s="53" t="str">
        <f t="shared" si="5"/>
        <v/>
      </c>
      <c r="AE23" s="53" t="str">
        <f t="shared" si="6"/>
        <v/>
      </c>
      <c r="AF23" s="55"/>
      <c r="AG23" s="55"/>
      <c r="AH23" s="55"/>
      <c r="AI23" s="55"/>
      <c r="AJ23" s="55"/>
      <c r="AK23" s="55"/>
      <c r="AL23" s="55"/>
    </row>
    <row r="24" spans="2:38" ht="39.75" customHeight="1" x14ac:dyDescent="0.25">
      <c r="B24" s="48">
        <v>19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0" t="str">
        <f t="shared" si="0"/>
        <v/>
      </c>
      <c r="T24" s="54"/>
      <c r="U24" s="50" t="str">
        <f t="shared" si="1"/>
        <v/>
      </c>
      <c r="V24" s="50" t="str">
        <f t="shared" si="2"/>
        <v/>
      </c>
      <c r="W24" s="50" t="str">
        <f t="shared" si="3"/>
        <v/>
      </c>
      <c r="X24" s="54"/>
      <c r="Y24" s="54"/>
      <c r="Z24" s="54"/>
      <c r="AA24" s="54"/>
      <c r="AB24" s="50" t="str">
        <f t="shared" si="4"/>
        <v/>
      </c>
      <c r="AC24" s="54"/>
      <c r="AD24" s="50" t="str">
        <f t="shared" si="5"/>
        <v/>
      </c>
      <c r="AE24" s="50" t="str">
        <f t="shared" si="6"/>
        <v/>
      </c>
      <c r="AF24" s="54"/>
      <c r="AG24" s="54"/>
      <c r="AH24" s="54"/>
      <c r="AI24" s="54"/>
      <c r="AJ24" s="54"/>
      <c r="AK24" s="54"/>
      <c r="AL24" s="54"/>
    </row>
    <row r="25" spans="2:38" ht="39.75" customHeight="1" x14ac:dyDescent="0.25">
      <c r="B25" s="51">
        <v>20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3" t="str">
        <f t="shared" si="0"/>
        <v/>
      </c>
      <c r="T25" s="55"/>
      <c r="U25" s="53" t="str">
        <f t="shared" si="1"/>
        <v/>
      </c>
      <c r="V25" s="53" t="str">
        <f t="shared" si="2"/>
        <v/>
      </c>
      <c r="W25" s="53" t="str">
        <f t="shared" si="3"/>
        <v/>
      </c>
      <c r="X25" s="55"/>
      <c r="Y25" s="55"/>
      <c r="Z25" s="55"/>
      <c r="AA25" s="55"/>
      <c r="AB25" s="53" t="str">
        <f t="shared" si="4"/>
        <v/>
      </c>
      <c r="AC25" s="55"/>
      <c r="AD25" s="53" t="str">
        <f t="shared" si="5"/>
        <v/>
      </c>
      <c r="AE25" s="53" t="str">
        <f t="shared" si="6"/>
        <v/>
      </c>
      <c r="AF25" s="55"/>
      <c r="AG25" s="55"/>
      <c r="AH25" s="55"/>
      <c r="AI25" s="55"/>
      <c r="AJ25" s="55"/>
      <c r="AK25" s="55"/>
      <c r="AL25" s="55"/>
    </row>
    <row r="26" spans="2:38" ht="39.75" customHeight="1" x14ac:dyDescent="0.25">
      <c r="B26" s="48">
        <v>21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0" t="str">
        <f t="shared" si="0"/>
        <v/>
      </c>
      <c r="T26" s="54"/>
      <c r="U26" s="50" t="str">
        <f t="shared" si="1"/>
        <v/>
      </c>
      <c r="V26" s="50" t="str">
        <f t="shared" si="2"/>
        <v/>
      </c>
      <c r="W26" s="50" t="str">
        <f t="shared" si="3"/>
        <v/>
      </c>
      <c r="X26" s="54"/>
      <c r="Y26" s="54"/>
      <c r="Z26" s="54"/>
      <c r="AA26" s="54"/>
      <c r="AB26" s="50" t="str">
        <f t="shared" si="4"/>
        <v/>
      </c>
      <c r="AC26" s="54"/>
      <c r="AD26" s="50" t="str">
        <f t="shared" si="5"/>
        <v/>
      </c>
      <c r="AE26" s="50" t="str">
        <f t="shared" si="6"/>
        <v/>
      </c>
      <c r="AF26" s="54"/>
      <c r="AG26" s="54"/>
      <c r="AH26" s="54"/>
      <c r="AI26" s="54"/>
      <c r="AJ26" s="54"/>
      <c r="AK26" s="54"/>
      <c r="AL26" s="54"/>
    </row>
    <row r="27" spans="2:38" ht="39.75" customHeight="1" x14ac:dyDescent="0.25">
      <c r="B27" s="51">
        <v>22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3" t="str">
        <f t="shared" si="0"/>
        <v/>
      </c>
      <c r="T27" s="55"/>
      <c r="U27" s="53" t="str">
        <f t="shared" si="1"/>
        <v/>
      </c>
      <c r="V27" s="53" t="str">
        <f t="shared" si="2"/>
        <v/>
      </c>
      <c r="W27" s="53" t="str">
        <f t="shared" si="3"/>
        <v/>
      </c>
      <c r="X27" s="55"/>
      <c r="Y27" s="55"/>
      <c r="Z27" s="55"/>
      <c r="AA27" s="55"/>
      <c r="AB27" s="53" t="str">
        <f t="shared" si="4"/>
        <v/>
      </c>
      <c r="AC27" s="55"/>
      <c r="AD27" s="53" t="str">
        <f t="shared" si="5"/>
        <v/>
      </c>
      <c r="AE27" s="53" t="str">
        <f t="shared" si="6"/>
        <v/>
      </c>
      <c r="AF27" s="55"/>
      <c r="AG27" s="55"/>
      <c r="AH27" s="55"/>
      <c r="AI27" s="55"/>
      <c r="AJ27" s="55"/>
      <c r="AK27" s="55"/>
      <c r="AL27" s="55"/>
    </row>
    <row r="28" spans="2:38" ht="39.75" customHeight="1" x14ac:dyDescent="0.25">
      <c r="B28" s="48">
        <v>23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0" t="str">
        <f t="shared" si="0"/>
        <v/>
      </c>
      <c r="T28" s="54"/>
      <c r="U28" s="50" t="str">
        <f t="shared" si="1"/>
        <v/>
      </c>
      <c r="V28" s="50" t="str">
        <f t="shared" si="2"/>
        <v/>
      </c>
      <c r="W28" s="50" t="str">
        <f t="shared" si="3"/>
        <v/>
      </c>
      <c r="X28" s="54"/>
      <c r="Y28" s="54"/>
      <c r="Z28" s="54"/>
      <c r="AA28" s="54"/>
      <c r="AB28" s="50" t="str">
        <f t="shared" si="4"/>
        <v/>
      </c>
      <c r="AC28" s="54"/>
      <c r="AD28" s="50" t="str">
        <f t="shared" si="5"/>
        <v/>
      </c>
      <c r="AE28" s="50" t="str">
        <f t="shared" si="6"/>
        <v/>
      </c>
      <c r="AF28" s="54"/>
      <c r="AG28" s="54"/>
      <c r="AH28" s="54"/>
      <c r="AI28" s="54"/>
      <c r="AJ28" s="54"/>
      <c r="AK28" s="54"/>
      <c r="AL28" s="54"/>
    </row>
    <row r="29" spans="2:38" ht="39.75" customHeight="1" x14ac:dyDescent="0.25">
      <c r="B29" s="51">
        <v>24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3" t="str">
        <f t="shared" si="0"/>
        <v/>
      </c>
      <c r="T29" s="55"/>
      <c r="U29" s="53" t="str">
        <f t="shared" si="1"/>
        <v/>
      </c>
      <c r="V29" s="53" t="str">
        <f t="shared" si="2"/>
        <v/>
      </c>
      <c r="W29" s="53" t="str">
        <f t="shared" si="3"/>
        <v/>
      </c>
      <c r="X29" s="55"/>
      <c r="Y29" s="55"/>
      <c r="Z29" s="55"/>
      <c r="AA29" s="55"/>
      <c r="AB29" s="53" t="str">
        <f t="shared" si="4"/>
        <v/>
      </c>
      <c r="AC29" s="55"/>
      <c r="AD29" s="53" t="str">
        <f t="shared" si="5"/>
        <v/>
      </c>
      <c r="AE29" s="53" t="str">
        <f t="shared" si="6"/>
        <v/>
      </c>
      <c r="AF29" s="55"/>
      <c r="AG29" s="55"/>
      <c r="AH29" s="55"/>
      <c r="AI29" s="55"/>
      <c r="AJ29" s="55"/>
      <c r="AK29" s="55"/>
      <c r="AL29" s="55"/>
    </row>
    <row r="30" spans="2:38" ht="39.75" customHeight="1" x14ac:dyDescent="0.25">
      <c r="B30" s="48">
        <v>25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0" t="str">
        <f t="shared" si="0"/>
        <v/>
      </c>
      <c r="T30" s="54"/>
      <c r="U30" s="50" t="str">
        <f t="shared" si="1"/>
        <v/>
      </c>
      <c r="V30" s="50" t="str">
        <f t="shared" si="2"/>
        <v/>
      </c>
      <c r="W30" s="50" t="str">
        <f t="shared" si="3"/>
        <v/>
      </c>
      <c r="X30" s="54"/>
      <c r="Y30" s="54"/>
      <c r="Z30" s="54"/>
      <c r="AA30" s="54"/>
      <c r="AB30" s="50" t="str">
        <f t="shared" si="4"/>
        <v/>
      </c>
      <c r="AC30" s="54"/>
      <c r="AD30" s="50" t="str">
        <f t="shared" si="5"/>
        <v/>
      </c>
      <c r="AE30" s="50" t="str">
        <f t="shared" si="6"/>
        <v/>
      </c>
      <c r="AF30" s="54"/>
      <c r="AG30" s="54"/>
      <c r="AH30" s="54"/>
      <c r="AI30" s="54"/>
      <c r="AJ30" s="54"/>
      <c r="AK30" s="54"/>
      <c r="AL30" s="54"/>
    </row>
    <row r="31" spans="2:38" ht="39.75" customHeight="1" x14ac:dyDescent="0.25">
      <c r="B31" s="51">
        <v>26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3" t="str">
        <f t="shared" si="0"/>
        <v/>
      </c>
      <c r="T31" s="55"/>
      <c r="U31" s="53" t="str">
        <f t="shared" si="1"/>
        <v/>
      </c>
      <c r="V31" s="53" t="str">
        <f t="shared" si="2"/>
        <v/>
      </c>
      <c r="W31" s="53" t="str">
        <f t="shared" si="3"/>
        <v/>
      </c>
      <c r="X31" s="55"/>
      <c r="Y31" s="55"/>
      <c r="Z31" s="55"/>
      <c r="AA31" s="55"/>
      <c r="AB31" s="53" t="str">
        <f t="shared" si="4"/>
        <v/>
      </c>
      <c r="AC31" s="55"/>
      <c r="AD31" s="53" t="str">
        <f t="shared" si="5"/>
        <v/>
      </c>
      <c r="AE31" s="53" t="str">
        <f t="shared" si="6"/>
        <v/>
      </c>
      <c r="AF31" s="55"/>
      <c r="AG31" s="55"/>
      <c r="AH31" s="55"/>
      <c r="AI31" s="55"/>
      <c r="AJ31" s="55"/>
      <c r="AK31" s="55"/>
      <c r="AL31" s="55"/>
    </row>
    <row r="32" spans="2:38" ht="39.75" customHeight="1" x14ac:dyDescent="0.25">
      <c r="B32" s="48">
        <v>27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0" t="str">
        <f t="shared" si="0"/>
        <v/>
      </c>
      <c r="T32" s="54"/>
      <c r="U32" s="50" t="str">
        <f t="shared" si="1"/>
        <v/>
      </c>
      <c r="V32" s="50" t="str">
        <f t="shared" si="2"/>
        <v/>
      </c>
      <c r="W32" s="50" t="str">
        <f t="shared" si="3"/>
        <v/>
      </c>
      <c r="X32" s="54"/>
      <c r="Y32" s="54"/>
      <c r="Z32" s="54"/>
      <c r="AA32" s="54"/>
      <c r="AB32" s="50" t="str">
        <f t="shared" si="4"/>
        <v/>
      </c>
      <c r="AC32" s="54"/>
      <c r="AD32" s="50" t="str">
        <f t="shared" si="5"/>
        <v/>
      </c>
      <c r="AE32" s="50" t="str">
        <f t="shared" si="6"/>
        <v/>
      </c>
      <c r="AF32" s="54"/>
      <c r="AG32" s="54"/>
      <c r="AH32" s="54"/>
      <c r="AI32" s="54"/>
      <c r="AJ32" s="54"/>
      <c r="AK32" s="54"/>
      <c r="AL32" s="54"/>
    </row>
    <row r="33" spans="2:38" ht="39.75" customHeight="1" x14ac:dyDescent="0.25">
      <c r="B33" s="51">
        <v>28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3" t="str">
        <f t="shared" si="0"/>
        <v/>
      </c>
      <c r="T33" s="55"/>
      <c r="U33" s="53" t="str">
        <f t="shared" si="1"/>
        <v/>
      </c>
      <c r="V33" s="53" t="str">
        <f t="shared" si="2"/>
        <v/>
      </c>
      <c r="W33" s="53" t="str">
        <f t="shared" si="3"/>
        <v/>
      </c>
      <c r="X33" s="55"/>
      <c r="Y33" s="55"/>
      <c r="Z33" s="55"/>
      <c r="AA33" s="55"/>
      <c r="AB33" s="53" t="str">
        <f t="shared" si="4"/>
        <v/>
      </c>
      <c r="AC33" s="55"/>
      <c r="AD33" s="53" t="str">
        <f t="shared" si="5"/>
        <v/>
      </c>
      <c r="AE33" s="53" t="str">
        <f t="shared" si="6"/>
        <v/>
      </c>
      <c r="AF33" s="55"/>
      <c r="AG33" s="55"/>
      <c r="AH33" s="55"/>
      <c r="AI33" s="55"/>
      <c r="AJ33" s="55"/>
      <c r="AK33" s="55"/>
      <c r="AL33" s="55"/>
    </row>
    <row r="34" spans="2:38" ht="39.75" customHeight="1" x14ac:dyDescent="0.25">
      <c r="B34" s="48">
        <v>29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0" t="str">
        <f t="shared" si="0"/>
        <v/>
      </c>
      <c r="T34" s="54"/>
      <c r="U34" s="50" t="str">
        <f t="shared" si="1"/>
        <v/>
      </c>
      <c r="V34" s="50" t="str">
        <f t="shared" si="2"/>
        <v/>
      </c>
      <c r="W34" s="50" t="str">
        <f t="shared" si="3"/>
        <v/>
      </c>
      <c r="X34" s="54"/>
      <c r="Y34" s="54"/>
      <c r="Z34" s="54"/>
      <c r="AA34" s="54"/>
      <c r="AB34" s="50" t="str">
        <f t="shared" si="4"/>
        <v/>
      </c>
      <c r="AC34" s="54"/>
      <c r="AD34" s="50" t="str">
        <f t="shared" si="5"/>
        <v/>
      </c>
      <c r="AE34" s="50" t="str">
        <f t="shared" si="6"/>
        <v/>
      </c>
      <c r="AF34" s="54"/>
      <c r="AG34" s="54"/>
      <c r="AH34" s="54"/>
      <c r="AI34" s="54"/>
      <c r="AJ34" s="54"/>
      <c r="AK34" s="54"/>
      <c r="AL34" s="54"/>
    </row>
    <row r="35" spans="2:38" ht="39.75" customHeight="1" x14ac:dyDescent="0.25">
      <c r="B35" s="51">
        <v>30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3" t="str">
        <f t="shared" si="0"/>
        <v/>
      </c>
      <c r="T35" s="55"/>
      <c r="U35" s="53" t="str">
        <f t="shared" si="1"/>
        <v/>
      </c>
      <c r="V35" s="53" t="str">
        <f t="shared" si="2"/>
        <v/>
      </c>
      <c r="W35" s="53" t="str">
        <f t="shared" si="3"/>
        <v/>
      </c>
      <c r="X35" s="55"/>
      <c r="Y35" s="55"/>
      <c r="Z35" s="55"/>
      <c r="AA35" s="55"/>
      <c r="AB35" s="53" t="str">
        <f t="shared" si="4"/>
        <v/>
      </c>
      <c r="AC35" s="55"/>
      <c r="AD35" s="53" t="str">
        <f t="shared" si="5"/>
        <v/>
      </c>
      <c r="AE35" s="53" t="str">
        <f t="shared" si="6"/>
        <v/>
      </c>
      <c r="AF35" s="55"/>
      <c r="AG35" s="55"/>
      <c r="AH35" s="55"/>
      <c r="AI35" s="55"/>
      <c r="AJ35" s="55"/>
      <c r="AK35" s="55"/>
      <c r="AL35" s="55"/>
    </row>
    <row r="36" spans="2:38" ht="39.75" customHeight="1" x14ac:dyDescent="0.25">
      <c r="B36" s="48">
        <v>31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0" t="str">
        <f t="shared" si="0"/>
        <v/>
      </c>
      <c r="T36" s="54"/>
      <c r="U36" s="50" t="str">
        <f t="shared" si="1"/>
        <v/>
      </c>
      <c r="V36" s="50" t="str">
        <f t="shared" si="2"/>
        <v/>
      </c>
      <c r="W36" s="50" t="str">
        <f t="shared" si="3"/>
        <v/>
      </c>
      <c r="X36" s="54"/>
      <c r="Y36" s="54"/>
      <c r="Z36" s="54"/>
      <c r="AA36" s="54"/>
      <c r="AB36" s="50" t="str">
        <f t="shared" si="4"/>
        <v/>
      </c>
      <c r="AC36" s="54"/>
      <c r="AD36" s="50" t="str">
        <f t="shared" si="5"/>
        <v/>
      </c>
      <c r="AE36" s="50" t="str">
        <f t="shared" si="6"/>
        <v/>
      </c>
      <c r="AF36" s="54"/>
      <c r="AG36" s="54"/>
      <c r="AH36" s="54"/>
      <c r="AI36" s="54"/>
      <c r="AJ36" s="54"/>
      <c r="AK36" s="54"/>
      <c r="AL36" s="54"/>
    </row>
    <row r="37" spans="2:38" ht="39.75" customHeight="1" x14ac:dyDescent="0.25">
      <c r="B37" s="51">
        <v>32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3" t="str">
        <f t="shared" si="0"/>
        <v/>
      </c>
      <c r="T37" s="55"/>
      <c r="U37" s="53" t="str">
        <f t="shared" si="1"/>
        <v/>
      </c>
      <c r="V37" s="53" t="str">
        <f t="shared" si="2"/>
        <v/>
      </c>
      <c r="W37" s="53" t="str">
        <f t="shared" si="3"/>
        <v/>
      </c>
      <c r="X37" s="55"/>
      <c r="Y37" s="55"/>
      <c r="Z37" s="55"/>
      <c r="AA37" s="55"/>
      <c r="AB37" s="53" t="str">
        <f t="shared" si="4"/>
        <v/>
      </c>
      <c r="AC37" s="55"/>
      <c r="AD37" s="53" t="str">
        <f t="shared" si="5"/>
        <v/>
      </c>
      <c r="AE37" s="53" t="str">
        <f t="shared" si="6"/>
        <v/>
      </c>
      <c r="AF37" s="55"/>
      <c r="AG37" s="55"/>
      <c r="AH37" s="55"/>
      <c r="AI37" s="55"/>
      <c r="AJ37" s="55"/>
      <c r="AK37" s="55"/>
      <c r="AL37" s="55"/>
    </row>
    <row r="38" spans="2:38" ht="39.75" customHeight="1" x14ac:dyDescent="0.25">
      <c r="B38" s="48">
        <v>33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0" t="str">
        <f t="shared" si="0"/>
        <v/>
      </c>
      <c r="T38" s="54"/>
      <c r="U38" s="50" t="str">
        <f t="shared" si="1"/>
        <v/>
      </c>
      <c r="V38" s="50" t="str">
        <f t="shared" si="2"/>
        <v/>
      </c>
      <c r="W38" s="50" t="str">
        <f t="shared" si="3"/>
        <v/>
      </c>
      <c r="X38" s="54"/>
      <c r="Y38" s="54"/>
      <c r="Z38" s="54"/>
      <c r="AA38" s="54"/>
      <c r="AB38" s="50" t="str">
        <f t="shared" si="4"/>
        <v/>
      </c>
      <c r="AC38" s="54"/>
      <c r="AD38" s="50" t="str">
        <f t="shared" si="5"/>
        <v/>
      </c>
      <c r="AE38" s="50" t="str">
        <f t="shared" si="6"/>
        <v/>
      </c>
      <c r="AF38" s="54"/>
      <c r="AG38" s="54"/>
      <c r="AH38" s="54"/>
      <c r="AI38" s="54"/>
      <c r="AJ38" s="54"/>
      <c r="AK38" s="54"/>
      <c r="AL38" s="54"/>
    </row>
    <row r="39" spans="2:38" ht="39.75" customHeight="1" x14ac:dyDescent="0.25">
      <c r="B39" s="51">
        <v>34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3" t="str">
        <f t="shared" si="0"/>
        <v/>
      </c>
      <c r="T39" s="55"/>
      <c r="U39" s="53" t="str">
        <f t="shared" si="1"/>
        <v/>
      </c>
      <c r="V39" s="53" t="str">
        <f t="shared" si="2"/>
        <v/>
      </c>
      <c r="W39" s="53" t="str">
        <f t="shared" si="3"/>
        <v/>
      </c>
      <c r="X39" s="55"/>
      <c r="Y39" s="55"/>
      <c r="Z39" s="55"/>
      <c r="AA39" s="55"/>
      <c r="AB39" s="53" t="str">
        <f t="shared" si="4"/>
        <v/>
      </c>
      <c r="AC39" s="55"/>
      <c r="AD39" s="53" t="str">
        <f t="shared" si="5"/>
        <v/>
      </c>
      <c r="AE39" s="53" t="str">
        <f t="shared" si="6"/>
        <v/>
      </c>
      <c r="AF39" s="55"/>
      <c r="AG39" s="55"/>
      <c r="AH39" s="55"/>
      <c r="AI39" s="55"/>
      <c r="AJ39" s="55"/>
      <c r="AK39" s="55"/>
      <c r="AL39" s="55"/>
    </row>
    <row r="40" spans="2:38" ht="39.75" customHeight="1" x14ac:dyDescent="0.25">
      <c r="B40" s="48">
        <v>35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0" t="str">
        <f t="shared" si="0"/>
        <v/>
      </c>
      <c r="T40" s="54"/>
      <c r="U40" s="50" t="str">
        <f t="shared" si="1"/>
        <v/>
      </c>
      <c r="V40" s="50" t="str">
        <f t="shared" si="2"/>
        <v/>
      </c>
      <c r="W40" s="50" t="str">
        <f t="shared" si="3"/>
        <v/>
      </c>
      <c r="X40" s="54"/>
      <c r="Y40" s="54"/>
      <c r="Z40" s="54"/>
      <c r="AA40" s="54"/>
      <c r="AB40" s="50" t="str">
        <f t="shared" si="4"/>
        <v/>
      </c>
      <c r="AC40" s="54"/>
      <c r="AD40" s="50" t="str">
        <f t="shared" si="5"/>
        <v/>
      </c>
      <c r="AE40" s="50" t="str">
        <f t="shared" si="6"/>
        <v/>
      </c>
      <c r="AF40" s="54"/>
      <c r="AG40" s="54"/>
      <c r="AH40" s="54"/>
      <c r="AI40" s="54"/>
      <c r="AJ40" s="54"/>
      <c r="AK40" s="54"/>
      <c r="AL40" s="54"/>
    </row>
    <row r="41" spans="2:38" ht="39.75" customHeight="1" x14ac:dyDescent="0.25">
      <c r="B41" s="51">
        <v>36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3" t="str">
        <f t="shared" si="0"/>
        <v/>
      </c>
      <c r="T41" s="55"/>
      <c r="U41" s="53" t="str">
        <f t="shared" si="1"/>
        <v/>
      </c>
      <c r="V41" s="53" t="str">
        <f t="shared" si="2"/>
        <v/>
      </c>
      <c r="W41" s="53" t="str">
        <f t="shared" si="3"/>
        <v/>
      </c>
      <c r="X41" s="55"/>
      <c r="Y41" s="55"/>
      <c r="Z41" s="55"/>
      <c r="AA41" s="55"/>
      <c r="AB41" s="53" t="str">
        <f t="shared" si="4"/>
        <v/>
      </c>
      <c r="AC41" s="55"/>
      <c r="AD41" s="53" t="str">
        <f t="shared" si="5"/>
        <v/>
      </c>
      <c r="AE41" s="53" t="str">
        <f t="shared" si="6"/>
        <v/>
      </c>
      <c r="AF41" s="55"/>
      <c r="AG41" s="55"/>
      <c r="AH41" s="55"/>
      <c r="AI41" s="55"/>
      <c r="AJ41" s="55"/>
      <c r="AK41" s="55"/>
      <c r="AL41" s="55"/>
    </row>
    <row r="42" spans="2:38" ht="39.75" customHeight="1" x14ac:dyDescent="0.25">
      <c r="B42" s="48">
        <v>37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0" t="str">
        <f t="shared" si="0"/>
        <v/>
      </c>
      <c r="T42" s="54"/>
      <c r="U42" s="50" t="str">
        <f t="shared" si="1"/>
        <v/>
      </c>
      <c r="V42" s="50" t="str">
        <f t="shared" si="2"/>
        <v/>
      </c>
      <c r="W42" s="50" t="str">
        <f t="shared" si="3"/>
        <v/>
      </c>
      <c r="X42" s="54"/>
      <c r="Y42" s="54"/>
      <c r="Z42" s="54"/>
      <c r="AA42" s="54"/>
      <c r="AB42" s="50" t="str">
        <f t="shared" si="4"/>
        <v/>
      </c>
      <c r="AC42" s="54"/>
      <c r="AD42" s="50" t="str">
        <f t="shared" si="5"/>
        <v/>
      </c>
      <c r="AE42" s="50" t="str">
        <f t="shared" si="6"/>
        <v/>
      </c>
      <c r="AF42" s="54"/>
      <c r="AG42" s="54"/>
      <c r="AH42" s="54"/>
      <c r="AI42" s="54"/>
      <c r="AJ42" s="54"/>
      <c r="AK42" s="54"/>
      <c r="AL42" s="54"/>
    </row>
    <row r="43" spans="2:38" ht="39.75" customHeight="1" x14ac:dyDescent="0.25">
      <c r="B43" s="51">
        <v>38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3" t="str">
        <f t="shared" si="0"/>
        <v/>
      </c>
      <c r="T43" s="55"/>
      <c r="U43" s="53" t="str">
        <f t="shared" si="1"/>
        <v/>
      </c>
      <c r="V43" s="53" t="str">
        <f t="shared" si="2"/>
        <v/>
      </c>
      <c r="W43" s="53" t="str">
        <f t="shared" si="3"/>
        <v/>
      </c>
      <c r="X43" s="55"/>
      <c r="Y43" s="55"/>
      <c r="Z43" s="55"/>
      <c r="AA43" s="55"/>
      <c r="AB43" s="53" t="str">
        <f t="shared" si="4"/>
        <v/>
      </c>
      <c r="AC43" s="55"/>
      <c r="AD43" s="53" t="str">
        <f t="shared" si="5"/>
        <v/>
      </c>
      <c r="AE43" s="53" t="str">
        <f t="shared" si="6"/>
        <v/>
      </c>
      <c r="AF43" s="55"/>
      <c r="AG43" s="55"/>
      <c r="AH43" s="55"/>
      <c r="AI43" s="55"/>
      <c r="AJ43" s="55"/>
      <c r="AK43" s="55"/>
      <c r="AL43" s="55"/>
    </row>
    <row r="44" spans="2:38" ht="39.75" customHeight="1" x14ac:dyDescent="0.25">
      <c r="B44" s="48">
        <v>39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0" t="str">
        <f t="shared" si="0"/>
        <v/>
      </c>
      <c r="T44" s="54"/>
      <c r="U44" s="50" t="str">
        <f t="shared" si="1"/>
        <v/>
      </c>
      <c r="V44" s="50" t="str">
        <f t="shared" si="2"/>
        <v/>
      </c>
      <c r="W44" s="50" t="str">
        <f t="shared" si="3"/>
        <v/>
      </c>
      <c r="X44" s="54"/>
      <c r="Y44" s="54"/>
      <c r="Z44" s="54"/>
      <c r="AA44" s="54"/>
      <c r="AB44" s="50" t="str">
        <f t="shared" si="4"/>
        <v/>
      </c>
      <c r="AC44" s="54"/>
      <c r="AD44" s="50" t="str">
        <f t="shared" si="5"/>
        <v/>
      </c>
      <c r="AE44" s="50" t="str">
        <f t="shared" si="6"/>
        <v/>
      </c>
      <c r="AF44" s="54"/>
      <c r="AG44" s="54"/>
      <c r="AH44" s="54"/>
      <c r="AI44" s="54"/>
      <c r="AJ44" s="54"/>
      <c r="AK44" s="54"/>
      <c r="AL44" s="54"/>
    </row>
    <row r="45" spans="2:38" ht="39.75" customHeight="1" x14ac:dyDescent="0.25">
      <c r="B45" s="51">
        <v>40</v>
      </c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3" t="str">
        <f t="shared" si="0"/>
        <v/>
      </c>
      <c r="T45" s="55"/>
      <c r="U45" s="53" t="str">
        <f t="shared" si="1"/>
        <v/>
      </c>
      <c r="V45" s="53" t="str">
        <f t="shared" si="2"/>
        <v/>
      </c>
      <c r="W45" s="53" t="str">
        <f t="shared" si="3"/>
        <v/>
      </c>
      <c r="X45" s="55"/>
      <c r="Y45" s="55"/>
      <c r="Z45" s="55"/>
      <c r="AA45" s="55"/>
      <c r="AB45" s="53" t="str">
        <f t="shared" si="4"/>
        <v/>
      </c>
      <c r="AC45" s="55"/>
      <c r="AD45" s="53" t="str">
        <f t="shared" si="5"/>
        <v/>
      </c>
      <c r="AE45" s="53" t="str">
        <f t="shared" si="6"/>
        <v/>
      </c>
      <c r="AF45" s="55"/>
      <c r="AG45" s="55"/>
      <c r="AH45" s="55"/>
      <c r="AI45" s="55"/>
      <c r="AJ45" s="55"/>
      <c r="AK45" s="55"/>
      <c r="AL45" s="55"/>
    </row>
    <row r="46" spans="2:38" ht="39.75" customHeight="1" x14ac:dyDescent="0.25">
      <c r="B46" s="48">
        <v>41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0" t="str">
        <f t="shared" si="0"/>
        <v/>
      </c>
      <c r="T46" s="54"/>
      <c r="U46" s="50" t="str">
        <f t="shared" si="1"/>
        <v/>
      </c>
      <c r="V46" s="50" t="str">
        <f t="shared" si="2"/>
        <v/>
      </c>
      <c r="W46" s="50" t="str">
        <f t="shared" si="3"/>
        <v/>
      </c>
      <c r="X46" s="54"/>
      <c r="Y46" s="54"/>
      <c r="Z46" s="54"/>
      <c r="AA46" s="54"/>
      <c r="AB46" s="50" t="str">
        <f t="shared" si="4"/>
        <v/>
      </c>
      <c r="AC46" s="54"/>
      <c r="AD46" s="50" t="str">
        <f t="shared" si="5"/>
        <v/>
      </c>
      <c r="AE46" s="50" t="str">
        <f t="shared" si="6"/>
        <v/>
      </c>
      <c r="AF46" s="54"/>
      <c r="AG46" s="54"/>
      <c r="AH46" s="54"/>
      <c r="AI46" s="54"/>
      <c r="AJ46" s="54"/>
      <c r="AK46" s="54"/>
      <c r="AL46" s="54"/>
    </row>
    <row r="47" spans="2:38" ht="39.75" customHeight="1" x14ac:dyDescent="0.25">
      <c r="B47" s="51">
        <v>42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3" t="str">
        <f t="shared" si="0"/>
        <v/>
      </c>
      <c r="T47" s="55"/>
      <c r="U47" s="53" t="str">
        <f t="shared" si="1"/>
        <v/>
      </c>
      <c r="V47" s="53" t="str">
        <f t="shared" si="2"/>
        <v/>
      </c>
      <c r="W47" s="53" t="str">
        <f t="shared" si="3"/>
        <v/>
      </c>
      <c r="X47" s="55"/>
      <c r="Y47" s="55"/>
      <c r="Z47" s="55"/>
      <c r="AA47" s="55"/>
      <c r="AB47" s="53" t="str">
        <f t="shared" si="4"/>
        <v/>
      </c>
      <c r="AC47" s="55"/>
      <c r="AD47" s="53" t="str">
        <f t="shared" si="5"/>
        <v/>
      </c>
      <c r="AE47" s="53" t="str">
        <f t="shared" si="6"/>
        <v/>
      </c>
      <c r="AF47" s="55"/>
      <c r="AG47" s="55"/>
      <c r="AH47" s="55"/>
      <c r="AI47" s="55"/>
      <c r="AJ47" s="55"/>
      <c r="AK47" s="55"/>
      <c r="AL47" s="55"/>
    </row>
    <row r="48" spans="2:38" ht="39.75" customHeight="1" x14ac:dyDescent="0.25">
      <c r="B48" s="48">
        <v>43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0" t="str">
        <f t="shared" si="0"/>
        <v/>
      </c>
      <c r="T48" s="54"/>
      <c r="U48" s="50" t="str">
        <f t="shared" si="1"/>
        <v/>
      </c>
      <c r="V48" s="50" t="str">
        <f t="shared" si="2"/>
        <v/>
      </c>
      <c r="W48" s="50" t="str">
        <f t="shared" si="3"/>
        <v/>
      </c>
      <c r="X48" s="54"/>
      <c r="Y48" s="54"/>
      <c r="Z48" s="54"/>
      <c r="AA48" s="54"/>
      <c r="AB48" s="50" t="str">
        <f t="shared" si="4"/>
        <v/>
      </c>
      <c r="AC48" s="54"/>
      <c r="AD48" s="50" t="str">
        <f t="shared" si="5"/>
        <v/>
      </c>
      <c r="AE48" s="50" t="str">
        <f t="shared" si="6"/>
        <v/>
      </c>
      <c r="AF48" s="54"/>
      <c r="AG48" s="54"/>
      <c r="AH48" s="54"/>
      <c r="AI48" s="54"/>
      <c r="AJ48" s="54"/>
      <c r="AK48" s="54"/>
      <c r="AL48" s="54"/>
    </row>
    <row r="49" spans="2:38" ht="39.75" customHeight="1" x14ac:dyDescent="0.25">
      <c r="B49" s="51">
        <v>44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3" t="str">
        <f t="shared" si="0"/>
        <v/>
      </c>
      <c r="T49" s="55"/>
      <c r="U49" s="53" t="str">
        <f t="shared" si="1"/>
        <v/>
      </c>
      <c r="V49" s="53" t="str">
        <f t="shared" si="2"/>
        <v/>
      </c>
      <c r="W49" s="53" t="str">
        <f t="shared" si="3"/>
        <v/>
      </c>
      <c r="X49" s="55"/>
      <c r="Y49" s="55"/>
      <c r="Z49" s="55"/>
      <c r="AA49" s="55"/>
      <c r="AB49" s="53" t="str">
        <f t="shared" si="4"/>
        <v/>
      </c>
      <c r="AC49" s="55"/>
      <c r="AD49" s="53" t="str">
        <f t="shared" si="5"/>
        <v/>
      </c>
      <c r="AE49" s="53" t="str">
        <f t="shared" si="6"/>
        <v/>
      </c>
      <c r="AF49" s="55"/>
      <c r="AG49" s="55"/>
      <c r="AH49" s="55"/>
      <c r="AI49" s="55"/>
      <c r="AJ49" s="55"/>
      <c r="AK49" s="55"/>
      <c r="AL49" s="55"/>
    </row>
    <row r="50" spans="2:38" ht="39.75" customHeight="1" x14ac:dyDescent="0.25">
      <c r="B50" s="48">
        <v>45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0" t="str">
        <f t="shared" si="0"/>
        <v/>
      </c>
      <c r="T50" s="54"/>
      <c r="U50" s="50" t="str">
        <f t="shared" si="1"/>
        <v/>
      </c>
      <c r="V50" s="50" t="str">
        <f t="shared" si="2"/>
        <v/>
      </c>
      <c r="W50" s="50" t="str">
        <f t="shared" si="3"/>
        <v/>
      </c>
      <c r="X50" s="54"/>
      <c r="Y50" s="54"/>
      <c r="Z50" s="54"/>
      <c r="AA50" s="54"/>
      <c r="AB50" s="50" t="str">
        <f t="shared" si="4"/>
        <v/>
      </c>
      <c r="AC50" s="54"/>
      <c r="AD50" s="50" t="str">
        <f t="shared" si="5"/>
        <v/>
      </c>
      <c r="AE50" s="50" t="str">
        <f t="shared" si="6"/>
        <v/>
      </c>
      <c r="AF50" s="54"/>
      <c r="AG50" s="54"/>
      <c r="AH50" s="54"/>
      <c r="AI50" s="54"/>
      <c r="AJ50" s="54"/>
      <c r="AK50" s="54"/>
      <c r="AL50" s="54"/>
    </row>
  </sheetData>
  <mergeCells count="4">
    <mergeCell ref="B2:AL2"/>
    <mergeCell ref="C3:E3"/>
    <mergeCell ref="G3:K3"/>
    <mergeCell ref="L3:AL3"/>
  </mergeCells>
  <conditionalFormatting sqref="U6:U50">
    <cfRule type="cellIs" dxfId="27" priority="2" operator="lessThanOrEqual">
      <formula>4</formula>
    </cfRule>
    <cfRule type="cellIs" dxfId="26" priority="3" operator="between">
      <formula>5</formula>
      <formula>8</formula>
    </cfRule>
    <cfRule type="cellIs" dxfId="25" priority="4" operator="between">
      <formula>9</formula>
      <formula>16</formula>
    </cfRule>
    <cfRule type="cellIs" dxfId="24" priority="5" operator="between">
      <formula>17</formula>
      <formula>24</formula>
    </cfRule>
    <cfRule type="cellIs" dxfId="23" priority="6" operator="between">
      <formula>25</formula>
      <formula>36</formula>
    </cfRule>
  </conditionalFormatting>
  <conditionalFormatting sqref="V6:V50">
    <cfRule type="cellIs" dxfId="22" priority="12" operator="equal">
      <formula>"Intolerable"</formula>
    </cfRule>
    <cfRule type="cellIs" dxfId="21" priority="13" operator="equal">
      <formula>"Importante"</formula>
    </cfRule>
    <cfRule type="cellIs" dxfId="20" priority="14" operator="equal">
      <formula>"Moderado"</formula>
    </cfRule>
    <cfRule type="cellIs" dxfId="19" priority="15" operator="equal">
      <formula>"Tolerable"</formula>
    </cfRule>
    <cfRule type="cellIs" dxfId="18" priority="16" operator="equal">
      <formula>"Trivial"</formula>
    </cfRule>
  </conditionalFormatting>
  <conditionalFormatting sqref="AD6:AD50">
    <cfRule type="cellIs" dxfId="17" priority="7" operator="lessThanOrEqual">
      <formula>4</formula>
    </cfRule>
    <cfRule type="cellIs" dxfId="16" priority="8" operator="between">
      <formula>5</formula>
      <formula>8</formula>
    </cfRule>
    <cfRule type="cellIs" dxfId="15" priority="9" operator="between">
      <formula>9</formula>
      <formula>16</formula>
    </cfRule>
    <cfRule type="cellIs" dxfId="14" priority="10" operator="between">
      <formula>17</formula>
      <formula>24</formula>
    </cfRule>
    <cfRule type="cellIs" dxfId="13" priority="11" operator="between">
      <formula>25</formula>
      <formula>36</formula>
    </cfRule>
  </conditionalFormatting>
  <conditionalFormatting sqref="AE6:AE50">
    <cfRule type="cellIs" dxfId="12" priority="17" operator="equal">
      <formula>"Intolerable"</formula>
    </cfRule>
    <cfRule type="cellIs" dxfId="11" priority="18" operator="equal">
      <formula>"Importante"</formula>
    </cfRule>
    <cfRule type="cellIs" dxfId="10" priority="19" operator="equal">
      <formula>"Moderado"</formula>
    </cfRule>
    <cfRule type="cellIs" dxfId="9" priority="20" operator="equal">
      <formula>"Tolerable"</formula>
    </cfRule>
    <cfRule type="cellIs" dxfId="8" priority="21" operator="equal">
      <formula>"Trivial"</formula>
    </cfRule>
  </conditionalFormatting>
  <conditionalFormatting sqref="AJ6:AJ50">
    <cfRule type="cellIs" dxfId="7" priority="22" operator="equal">
      <formula>"Vencido"</formula>
    </cfRule>
  </conditionalFormatting>
  <dataValidations count="5">
    <dataValidation type="list" allowBlank="1" sqref="H6:H50" xr:uid="{00000000-0002-0000-0500-000000000000}">
      <formula1>"Rutinaria,No rutinaria"</formula1>
      <formula2>0</formula2>
    </dataValidation>
    <dataValidation type="list" allowBlank="1" sqref="K6:K50" xr:uid="{00000000-0002-0000-0500-000001000000}">
      <formula1>"Físico,Químico,Biológico,Ergonómico,Psicosocial,Mecánico,Eléctrico,Locativo,Incendio/Explosión,Tránsito/Transporte,Altura,Espacios confinados"</formula1>
      <formula2>0</formula2>
    </dataValidation>
    <dataValidation type="list" allowBlank="1" sqref="X6:X50" xr:uid="{00000000-0002-0000-0500-000002000000}">
      <formula1>"Eliminación,Sustitución,Ingeniería,Administrativo,Señalización,EPP"</formula1>
      <formula2>0</formula2>
    </dataValidation>
    <dataValidation type="list" allowBlank="1" sqref="AJ6:AJ50" xr:uid="{00000000-0002-0000-0500-000003000000}">
      <formula1>"Pendiente,En proceso,Implementado,Vencido"</formula1>
      <formula2>0</formula2>
    </dataValidation>
    <dataValidation type="list" allowBlank="1" sqref="AC6:AC50 Z6:AA50 T6:T50 O6:R50" xr:uid="{00000000-0002-0000-0500-000005000000}">
      <formula1>"1,2,3"</formula1>
      <formula2>0</formula2>
    </dataValidation>
  </dataValidations>
  <pageMargins left="0.4" right="0.4" top="0.5" bottom="0.5" header="0.511811023622047" footer="0.51180555555555596"/>
  <pageSetup paperSize="9" fitToHeight="0" orientation="landscape" horizontalDpi="300" verticalDpi="300"/>
  <headerFooter>
    <oddFooter>&amp;L&amp;7 IPERC Normativo Perú&amp;C&amp;7 Pág. &amp;P de &amp;N&amp;R&amp;7 © Ing. Pierre R. - peru.labs.pe@gmail.com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4000000}">
          <x14:formula1>
            <xm:f>'4. Catálogo Peligros'!$C$4:$C$36</xm:f>
          </x14:formula1>
          <x14:formula2>
            <xm:f>0</xm:f>
          </x14:formula2>
          <xm:sqref>J6:J50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Z23"/>
  <sheetViews>
    <sheetView showGridLines="0" zoomScaleNormal="10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B23" sqref="B23:J23"/>
    </sheetView>
  </sheetViews>
  <sheetFormatPr baseColWidth="10" defaultColWidth="8.7109375" defaultRowHeight="15" x14ac:dyDescent="0.25"/>
  <cols>
    <col min="1" max="1" width="2" customWidth="1"/>
    <col min="2" max="2" width="16" customWidth="1"/>
    <col min="3" max="3" width="30" customWidth="1"/>
    <col min="4" max="4" width="16" customWidth="1"/>
    <col min="5" max="5" width="20" customWidth="1"/>
    <col min="6" max="6" width="46" customWidth="1"/>
    <col min="7" max="7" width="22" customWidth="1"/>
    <col min="8" max="8" width="30" customWidth="1"/>
    <col min="9" max="9" width="20" customWidth="1"/>
    <col min="10" max="10" width="30" customWidth="1"/>
  </cols>
  <sheetData>
    <row r="1" spans="2:52" ht="15" customHeight="1" x14ac:dyDescent="0.25">
      <c r="AZ1" s="18" t="s">
        <v>0</v>
      </c>
    </row>
    <row r="2" spans="2:52" ht="25.5" customHeight="1" x14ac:dyDescent="0.25">
      <c r="B2" s="74" t="s">
        <v>583</v>
      </c>
      <c r="C2" s="74"/>
      <c r="D2" s="74"/>
      <c r="E2" s="74"/>
      <c r="F2" s="74"/>
      <c r="G2" s="74"/>
      <c r="H2" s="74"/>
      <c r="I2" s="74"/>
      <c r="J2" s="74"/>
    </row>
    <row r="3" spans="2:52" ht="30" customHeight="1" x14ac:dyDescent="0.25">
      <c r="B3" s="38" t="s">
        <v>584</v>
      </c>
      <c r="C3" s="38" t="s">
        <v>585</v>
      </c>
      <c r="D3" s="38" t="s">
        <v>586</v>
      </c>
      <c r="E3" s="38" t="s">
        <v>587</v>
      </c>
      <c r="F3" s="38" t="s">
        <v>588</v>
      </c>
      <c r="G3" s="38" t="s">
        <v>589</v>
      </c>
      <c r="H3" s="38" t="s">
        <v>590</v>
      </c>
      <c r="I3" s="38" t="s">
        <v>488</v>
      </c>
      <c r="J3" s="38" t="s">
        <v>591</v>
      </c>
    </row>
    <row r="4" spans="2:52" ht="37.5" customHeight="1" x14ac:dyDescent="0.25">
      <c r="B4" s="40" t="s">
        <v>592</v>
      </c>
      <c r="C4" s="40" t="s">
        <v>593</v>
      </c>
      <c r="D4" s="40" t="s">
        <v>594</v>
      </c>
      <c r="E4" s="40" t="s">
        <v>595</v>
      </c>
      <c r="F4" s="40" t="s">
        <v>596</v>
      </c>
      <c r="G4" s="40" t="s">
        <v>323</v>
      </c>
      <c r="H4" s="40" t="s">
        <v>597</v>
      </c>
      <c r="I4" s="40" t="s">
        <v>598</v>
      </c>
      <c r="J4" s="40" t="s">
        <v>599</v>
      </c>
    </row>
    <row r="5" spans="2:52" ht="37.5" customHeight="1" x14ac:dyDescent="0.25">
      <c r="B5" s="41" t="s">
        <v>592</v>
      </c>
      <c r="C5" s="41" t="s">
        <v>593</v>
      </c>
      <c r="D5" s="41" t="s">
        <v>600</v>
      </c>
      <c r="E5" s="41" t="s">
        <v>601</v>
      </c>
      <c r="F5" s="41" t="s">
        <v>602</v>
      </c>
      <c r="G5" s="41" t="s">
        <v>323</v>
      </c>
      <c r="H5" s="41" t="s">
        <v>603</v>
      </c>
      <c r="I5" s="41" t="s">
        <v>598</v>
      </c>
      <c r="J5" s="41" t="s">
        <v>599</v>
      </c>
    </row>
    <row r="6" spans="2:52" ht="37.5" customHeight="1" x14ac:dyDescent="0.25">
      <c r="B6" s="40" t="s">
        <v>592</v>
      </c>
      <c r="C6" s="40" t="s">
        <v>593</v>
      </c>
      <c r="D6" s="40" t="s">
        <v>604</v>
      </c>
      <c r="E6" s="40" t="s">
        <v>605</v>
      </c>
      <c r="F6" s="40" t="s">
        <v>606</v>
      </c>
      <c r="G6" s="40" t="s">
        <v>323</v>
      </c>
      <c r="H6" s="40" t="s">
        <v>607</v>
      </c>
      <c r="I6" s="40" t="s">
        <v>598</v>
      </c>
      <c r="J6" s="40" t="s">
        <v>599</v>
      </c>
    </row>
    <row r="7" spans="2:52" ht="37.5" customHeight="1" x14ac:dyDescent="0.25">
      <c r="B7" s="41" t="s">
        <v>592</v>
      </c>
      <c r="C7" s="41" t="s">
        <v>593</v>
      </c>
      <c r="D7" s="41" t="s">
        <v>608</v>
      </c>
      <c r="E7" s="41" t="s">
        <v>609</v>
      </c>
      <c r="F7" s="41" t="s">
        <v>610</v>
      </c>
      <c r="G7" s="41" t="s">
        <v>323</v>
      </c>
      <c r="H7" s="41" t="s">
        <v>611</v>
      </c>
      <c r="I7" s="41" t="s">
        <v>598</v>
      </c>
      <c r="J7" s="41" t="s">
        <v>599</v>
      </c>
    </row>
    <row r="8" spans="2:52" ht="37.5" customHeight="1" x14ac:dyDescent="0.25">
      <c r="B8" s="40" t="s">
        <v>592</v>
      </c>
      <c r="C8" s="40" t="s">
        <v>593</v>
      </c>
      <c r="D8" s="40" t="s">
        <v>612</v>
      </c>
      <c r="E8" s="40" t="s">
        <v>613</v>
      </c>
      <c r="F8" s="40" t="s">
        <v>614</v>
      </c>
      <c r="G8" s="40" t="s">
        <v>323</v>
      </c>
      <c r="H8" s="40" t="s">
        <v>615</v>
      </c>
      <c r="I8" s="40" t="s">
        <v>598</v>
      </c>
      <c r="J8" s="40" t="s">
        <v>599</v>
      </c>
    </row>
    <row r="9" spans="2:52" ht="37.5" customHeight="1" x14ac:dyDescent="0.25">
      <c r="B9" s="41" t="s">
        <v>616</v>
      </c>
      <c r="C9" s="41" t="s">
        <v>617</v>
      </c>
      <c r="D9" s="41" t="s">
        <v>618</v>
      </c>
      <c r="E9" s="41" t="s">
        <v>619</v>
      </c>
      <c r="F9" s="41" t="s">
        <v>620</v>
      </c>
      <c r="G9" s="41" t="s">
        <v>323</v>
      </c>
      <c r="H9" s="41" t="s">
        <v>621</v>
      </c>
      <c r="I9" s="41" t="s">
        <v>598</v>
      </c>
      <c r="J9" s="41" t="s">
        <v>622</v>
      </c>
    </row>
    <row r="10" spans="2:52" ht="37.5" customHeight="1" x14ac:dyDescent="0.25">
      <c r="B10" s="40" t="s">
        <v>616</v>
      </c>
      <c r="C10" s="40" t="s">
        <v>617</v>
      </c>
      <c r="D10" s="40" t="s">
        <v>623</v>
      </c>
      <c r="E10" s="40" t="s">
        <v>624</v>
      </c>
      <c r="F10" s="40" t="s">
        <v>625</v>
      </c>
      <c r="G10" s="40" t="s">
        <v>323</v>
      </c>
      <c r="H10" s="40" t="s">
        <v>626</v>
      </c>
      <c r="I10" s="40" t="s">
        <v>598</v>
      </c>
      <c r="J10" s="40" t="s">
        <v>622</v>
      </c>
    </row>
    <row r="11" spans="2:52" ht="37.5" customHeight="1" x14ac:dyDescent="0.25">
      <c r="B11" s="41" t="s">
        <v>616</v>
      </c>
      <c r="C11" s="41" t="s">
        <v>617</v>
      </c>
      <c r="D11" s="41" t="s">
        <v>627</v>
      </c>
      <c r="E11" s="41" t="s">
        <v>628</v>
      </c>
      <c r="F11" s="41" t="s">
        <v>629</v>
      </c>
      <c r="G11" s="41" t="s">
        <v>323</v>
      </c>
      <c r="H11" s="41" t="s">
        <v>630</v>
      </c>
      <c r="I11" s="41" t="s">
        <v>631</v>
      </c>
      <c r="J11" s="41" t="s">
        <v>622</v>
      </c>
    </row>
    <row r="12" spans="2:52" ht="37.5" customHeight="1" x14ac:dyDescent="0.25">
      <c r="B12" s="40" t="s">
        <v>632</v>
      </c>
      <c r="C12" s="40" t="s">
        <v>633</v>
      </c>
      <c r="D12" s="40" t="s">
        <v>634</v>
      </c>
      <c r="E12" s="40" t="s">
        <v>635</v>
      </c>
      <c r="F12" s="40" t="s">
        <v>636</v>
      </c>
      <c r="G12" s="40" t="s">
        <v>323</v>
      </c>
      <c r="H12" s="40" t="s">
        <v>637</v>
      </c>
      <c r="I12" s="40" t="s">
        <v>598</v>
      </c>
      <c r="J12" s="40" t="s">
        <v>638</v>
      </c>
    </row>
    <row r="13" spans="2:52" ht="37.5" customHeight="1" x14ac:dyDescent="0.25">
      <c r="B13" s="41" t="s">
        <v>639</v>
      </c>
      <c r="C13" s="41" t="s">
        <v>640</v>
      </c>
      <c r="D13" s="41" t="s">
        <v>641</v>
      </c>
      <c r="E13" s="41" t="s">
        <v>642</v>
      </c>
      <c r="F13" s="41" t="s">
        <v>643</v>
      </c>
      <c r="G13" s="41" t="s">
        <v>323</v>
      </c>
      <c r="H13" s="41" t="s">
        <v>644</v>
      </c>
      <c r="I13" s="41" t="s">
        <v>598</v>
      </c>
      <c r="J13" s="41" t="s">
        <v>645</v>
      </c>
    </row>
    <row r="14" spans="2:52" ht="37.5" customHeight="1" x14ac:dyDescent="0.25">
      <c r="B14" s="40" t="s">
        <v>646</v>
      </c>
      <c r="C14" s="40" t="s">
        <v>647</v>
      </c>
      <c r="D14" s="40" t="s">
        <v>641</v>
      </c>
      <c r="E14" s="40" t="s">
        <v>648</v>
      </c>
      <c r="F14" s="40" t="s">
        <v>649</v>
      </c>
      <c r="G14" s="40" t="s">
        <v>650</v>
      </c>
      <c r="H14" s="40" t="s">
        <v>651</v>
      </c>
      <c r="I14" s="40" t="s">
        <v>598</v>
      </c>
      <c r="J14" s="40" t="s">
        <v>652</v>
      </c>
    </row>
    <row r="15" spans="2:52" ht="37.5" customHeight="1" x14ac:dyDescent="0.25">
      <c r="B15" s="41" t="s">
        <v>653</v>
      </c>
      <c r="C15" s="41" t="s">
        <v>654</v>
      </c>
      <c r="D15" s="41" t="s">
        <v>655</v>
      </c>
      <c r="E15" s="41" t="s">
        <v>656</v>
      </c>
      <c r="F15" s="41" t="s">
        <v>657</v>
      </c>
      <c r="G15" s="41" t="s">
        <v>323</v>
      </c>
      <c r="H15" s="41" t="s">
        <v>658</v>
      </c>
      <c r="I15" s="41" t="s">
        <v>598</v>
      </c>
      <c r="J15" s="41" t="s">
        <v>659</v>
      </c>
    </row>
    <row r="16" spans="2:52" ht="37.5" customHeight="1" x14ac:dyDescent="0.25">
      <c r="B16" s="40" t="s">
        <v>660</v>
      </c>
      <c r="C16" s="40" t="s">
        <v>661</v>
      </c>
      <c r="D16" s="40" t="s">
        <v>662</v>
      </c>
      <c r="E16" s="40" t="s">
        <v>663</v>
      </c>
      <c r="F16" s="40" t="s">
        <v>664</v>
      </c>
      <c r="G16" s="40" t="s">
        <v>665</v>
      </c>
      <c r="H16" s="40" t="s">
        <v>666</v>
      </c>
      <c r="I16" s="40" t="s">
        <v>598</v>
      </c>
      <c r="J16" s="40" t="s">
        <v>667</v>
      </c>
    </row>
    <row r="17" spans="2:10" ht="37.5" customHeight="1" x14ac:dyDescent="0.25">
      <c r="B17" s="41" t="s">
        <v>668</v>
      </c>
      <c r="C17" s="41" t="s">
        <v>669</v>
      </c>
      <c r="D17" s="41" t="s">
        <v>670</v>
      </c>
      <c r="E17" s="41" t="s">
        <v>671</v>
      </c>
      <c r="F17" s="41" t="s">
        <v>672</v>
      </c>
      <c r="G17" s="41" t="s">
        <v>665</v>
      </c>
      <c r="H17" s="41" t="s">
        <v>673</v>
      </c>
      <c r="I17" s="41" t="s">
        <v>598</v>
      </c>
      <c r="J17" s="41" t="s">
        <v>659</v>
      </c>
    </row>
    <row r="18" spans="2:10" ht="37.5" customHeight="1" x14ac:dyDescent="0.25">
      <c r="B18" s="40" t="s">
        <v>674</v>
      </c>
      <c r="C18" s="40" t="s">
        <v>675</v>
      </c>
      <c r="D18" s="40" t="s">
        <v>662</v>
      </c>
      <c r="E18" s="40" t="s">
        <v>676</v>
      </c>
      <c r="F18" s="40" t="s">
        <v>677</v>
      </c>
      <c r="G18" s="40" t="s">
        <v>678</v>
      </c>
      <c r="H18" s="40" t="s">
        <v>679</v>
      </c>
      <c r="I18" s="40" t="s">
        <v>598</v>
      </c>
      <c r="J18" s="40" t="s">
        <v>680</v>
      </c>
    </row>
    <row r="19" spans="2:10" ht="37.5" customHeight="1" x14ac:dyDescent="0.25">
      <c r="B19" s="41" t="s">
        <v>681</v>
      </c>
      <c r="C19" s="41" t="s">
        <v>682</v>
      </c>
      <c r="D19" s="41" t="s">
        <v>662</v>
      </c>
      <c r="E19" s="41" t="s">
        <v>683</v>
      </c>
      <c r="F19" s="41" t="s">
        <v>684</v>
      </c>
      <c r="G19" s="41" t="s">
        <v>683</v>
      </c>
      <c r="H19" s="41" t="s">
        <v>685</v>
      </c>
      <c r="I19" s="41" t="s">
        <v>598</v>
      </c>
      <c r="J19" s="41" t="s">
        <v>680</v>
      </c>
    </row>
    <row r="20" spans="2:10" ht="37.5" customHeight="1" x14ac:dyDescent="0.25">
      <c r="B20" s="40" t="s">
        <v>686</v>
      </c>
      <c r="C20" s="40" t="s">
        <v>687</v>
      </c>
      <c r="D20" s="40" t="s">
        <v>688</v>
      </c>
      <c r="E20" s="40" t="s">
        <v>689</v>
      </c>
      <c r="F20" s="40" t="s">
        <v>690</v>
      </c>
      <c r="G20" s="40" t="s">
        <v>689</v>
      </c>
      <c r="H20" s="40" t="s">
        <v>691</v>
      </c>
      <c r="I20" s="40" t="s">
        <v>598</v>
      </c>
      <c r="J20" s="40" t="s">
        <v>692</v>
      </c>
    </row>
    <row r="21" spans="2:10" ht="37.5" customHeight="1" x14ac:dyDescent="0.25">
      <c r="B21" s="41" t="s">
        <v>693</v>
      </c>
      <c r="C21" s="41" t="s">
        <v>694</v>
      </c>
      <c r="D21" s="41" t="s">
        <v>695</v>
      </c>
      <c r="E21" s="41" t="s">
        <v>696</v>
      </c>
      <c r="F21" s="41" t="s">
        <v>697</v>
      </c>
      <c r="G21" s="41" t="s">
        <v>323</v>
      </c>
      <c r="H21" s="41" t="s">
        <v>698</v>
      </c>
      <c r="I21" s="41" t="s">
        <v>699</v>
      </c>
      <c r="J21" s="41" t="s">
        <v>700</v>
      </c>
    </row>
    <row r="23" spans="2:10" ht="30" customHeight="1" x14ac:dyDescent="0.25">
      <c r="B23" s="73" t="s">
        <v>701</v>
      </c>
      <c r="C23" s="73"/>
      <c r="D23" s="73"/>
      <c r="E23" s="73"/>
      <c r="F23" s="73"/>
      <c r="G23" s="73"/>
      <c r="H23" s="73"/>
      <c r="I23" s="73"/>
      <c r="J23" s="73"/>
    </row>
  </sheetData>
  <mergeCells count="2">
    <mergeCell ref="B2:J2"/>
    <mergeCell ref="B23:J23"/>
  </mergeCells>
  <pageMargins left="0.4" right="0.4" top="0.5" bottom="0.5" header="0.511811023622047" footer="0.51180555555555596"/>
  <pageSetup paperSize="9" fitToHeight="0" orientation="landscape" horizontalDpi="300" verticalDpi="300"/>
  <headerFooter>
    <oddFooter>&amp;L&amp;7 IPERC Normativo Perú&amp;C&amp;7 Pág. &amp;P de &amp;N&amp;R&amp;7 © Ing. Pierre R. - peru.labs.pe@gmail.com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AZ49"/>
  <sheetViews>
    <sheetView showGridLines="0" zoomScaleNormal="100" workbookViewId="0">
      <selection activeCell="D5" sqref="D5"/>
    </sheetView>
  </sheetViews>
  <sheetFormatPr baseColWidth="10" defaultColWidth="8.7109375" defaultRowHeight="15" x14ac:dyDescent="0.25"/>
  <cols>
    <col min="1" max="1" width="2" customWidth="1"/>
    <col min="2" max="2" width="6" customWidth="1"/>
    <col min="3" max="3" width="24" customWidth="1"/>
    <col min="4" max="4" width="28" customWidth="1"/>
    <col min="5" max="5" width="32" customWidth="1"/>
    <col min="6" max="6" width="16" customWidth="1"/>
    <col min="7" max="7" width="14" customWidth="1"/>
    <col min="8" max="8" width="20" customWidth="1"/>
    <col min="9" max="9" width="14" customWidth="1"/>
  </cols>
  <sheetData>
    <row r="1" spans="2:52" ht="15" customHeight="1" x14ac:dyDescent="0.25">
      <c r="AZ1" s="18" t="s">
        <v>0</v>
      </c>
    </row>
    <row r="2" spans="2:52" ht="24" customHeight="1" x14ac:dyDescent="0.25">
      <c r="B2" s="74" t="s">
        <v>702</v>
      </c>
      <c r="C2" s="74"/>
      <c r="D2" s="74"/>
      <c r="E2" s="74"/>
      <c r="F2" s="74"/>
      <c r="G2" s="74"/>
      <c r="H2" s="74"/>
      <c r="I2" s="74"/>
    </row>
    <row r="3" spans="2:52" ht="15" customHeight="1" x14ac:dyDescent="0.25">
      <c r="B3" s="84" t="s">
        <v>703</v>
      </c>
      <c r="C3" s="84"/>
      <c r="D3" s="84"/>
      <c r="E3" s="84"/>
      <c r="F3" s="84"/>
      <c r="G3" s="84"/>
      <c r="H3" s="84"/>
      <c r="I3" s="84"/>
    </row>
    <row r="4" spans="2:52" ht="25.5" customHeight="1" x14ac:dyDescent="0.25">
      <c r="B4" s="38" t="s">
        <v>458</v>
      </c>
      <c r="C4" s="38" t="s">
        <v>168</v>
      </c>
      <c r="D4" s="38" t="s">
        <v>704</v>
      </c>
      <c r="E4" s="38" t="s">
        <v>705</v>
      </c>
      <c r="F4" s="38" t="s">
        <v>706</v>
      </c>
      <c r="G4" s="38" t="s">
        <v>707</v>
      </c>
      <c r="H4" s="38" t="s">
        <v>484</v>
      </c>
      <c r="I4" s="38" t="s">
        <v>485</v>
      </c>
    </row>
    <row r="5" spans="2:52" ht="33.75" customHeight="1" x14ac:dyDescent="0.25">
      <c r="B5" s="56">
        <f>'5. Matriz IPERC'!B6</f>
        <v>1</v>
      </c>
      <c r="C5" s="54" t="str">
        <f>IF('5. Matriz IPERC'!J6="","",'5. Matriz IPERC'!J6)</f>
        <v>Uso prolongado de pantallas (PVD)</v>
      </c>
      <c r="D5" s="54" t="str">
        <f>IF('5. Matriz IPERC'!L6="","",'5. Matriz IPERC'!L6)</f>
        <v>Exposición prolongada a pantalla de visualización</v>
      </c>
      <c r="E5" s="54" t="str">
        <f>IF('5. Matriz IPERC'!Y6="","",'5. Matriz IPERC'!Y6)</f>
        <v>Silla ergonómica, regla 20-20-20, pausas activas, evaluación de puesto</v>
      </c>
      <c r="F5" s="54" t="str">
        <f>IF('5. Matriz IPERC'!X6="","",'5. Matriz IPERC'!X6)</f>
        <v>Administrativo</v>
      </c>
      <c r="G5" s="56" t="str">
        <f>IF('5. Matriz IPERC'!V6="","",'5. Matriz IPERC'!V6)</f>
        <v>Importante</v>
      </c>
      <c r="H5" s="54" t="str">
        <f>IF('5. Matriz IPERC'!AF6="","",'5. Matriz IPERC'!AF6)</f>
        <v>Jefe de RR.HH.</v>
      </c>
      <c r="I5" s="56" t="str">
        <f>IF('5. Matriz IPERC'!AG6="","",'5. Matriz IPERC'!AG6)</f>
        <v>30 días</v>
      </c>
    </row>
    <row r="6" spans="2:52" ht="33.75" customHeight="1" x14ac:dyDescent="0.25">
      <c r="B6" s="57">
        <f>'5. Matriz IPERC'!B7</f>
        <v>2</v>
      </c>
      <c r="C6" s="55" t="str">
        <f>IF('5. Matriz IPERC'!J7="","",'5. Matriz IPERC'!J7)</f>
        <v>Pisos resbaladizos / húmedos</v>
      </c>
      <c r="D6" s="55" t="str">
        <f>IF('5. Matriz IPERC'!L7="","",'5. Matriz IPERC'!L7)</f>
        <v>Caída de persona a nivel</v>
      </c>
      <c r="E6" s="55" t="str">
        <f>IF('5. Matriz IPERC'!Y7="","",'5. Matriz IPERC'!Y7)</f>
        <v>Señalización piso mojado, calzado antideslizante, limpieza programada</v>
      </c>
      <c r="F6" s="55" t="str">
        <f>IF('5. Matriz IPERC'!X7="","",'5. Matriz IPERC'!X7)</f>
        <v>Administrativo</v>
      </c>
      <c r="G6" s="57" t="str">
        <f>IF('5. Matriz IPERC'!V7="","",'5. Matriz IPERC'!V7)</f>
        <v>Importante</v>
      </c>
      <c r="H6" s="55" t="str">
        <f>IF('5. Matriz IPERC'!AF7="","",'5. Matriz IPERC'!AF7)</f>
        <v>Supervisor de servicios</v>
      </c>
      <c r="I6" s="57" t="str">
        <f>IF('5. Matriz IPERC'!AG7="","",'5. Matriz IPERC'!AG7)</f>
        <v>15 días</v>
      </c>
    </row>
    <row r="7" spans="2:52" ht="33.75" customHeight="1" x14ac:dyDescent="0.25">
      <c r="B7" s="56">
        <f>'5. Matriz IPERC'!B8</f>
        <v>3</v>
      </c>
      <c r="C7" s="54" t="str">
        <f>IF('5. Matriz IPERC'!J8="","",'5. Matriz IPERC'!J8)</f>
        <v>Manipulación manual de cargas</v>
      </c>
      <c r="D7" s="54" t="str">
        <f>IF('5. Matriz IPERC'!L8="","",'5. Matriz IPERC'!L8)</f>
        <v>Sobreesfuerzo por levantamiento de cargas</v>
      </c>
      <c r="E7" s="54" t="str">
        <f>IF('5. Matriz IPERC'!Y8="","",'5. Matriz IPERC'!Y8)</f>
        <v>Ayudas mecánicas, límite de peso por caja, rotación, capacitación ergonómica</v>
      </c>
      <c r="F7" s="54" t="str">
        <f>IF('5. Matriz IPERC'!X8="","",'5. Matriz IPERC'!X8)</f>
        <v>Ingeniería</v>
      </c>
      <c r="G7" s="56" t="str">
        <f>IF('5. Matriz IPERC'!V8="","",'5. Matriz IPERC'!V8)</f>
        <v>Importante</v>
      </c>
      <c r="H7" s="54" t="str">
        <f>IF('5. Matriz IPERC'!AF8="","",'5. Matriz IPERC'!AF8)</f>
        <v>Jefe de almacén</v>
      </c>
      <c r="I7" s="56" t="str">
        <f>IF('5. Matriz IPERC'!AG8="","",'5. Matriz IPERC'!AG8)</f>
        <v>45 días</v>
      </c>
    </row>
    <row r="8" spans="2:52" ht="33.75" customHeight="1" x14ac:dyDescent="0.25">
      <c r="B8" s="57">
        <f>'5. Matriz IPERC'!B9</f>
        <v>4</v>
      </c>
      <c r="C8" s="55" t="str">
        <f>IF('5. Matriz IPERC'!J9="","",'5. Matriz IPERC'!J9)</f>
        <v>Partes móviles de máquinas</v>
      </c>
      <c r="D8" s="55" t="str">
        <f>IF('5. Matriz IPERC'!L9="","",'5. Matriz IPERC'!L9)</f>
        <v>Atrapamiento / corte por partes móviles</v>
      </c>
      <c r="E8" s="55" t="str">
        <f>IF('5. Matriz IPERC'!Y9="","",'5. Matriz IPERC'!Y9)</f>
        <v>Resguardos con enclavamiento, bloqueo y etiquetado (LOTO), capacitación, inspección</v>
      </c>
      <c r="F8" s="55" t="str">
        <f>IF('5. Matriz IPERC'!X9="","",'5. Matriz IPERC'!X9)</f>
        <v>Ingeniería</v>
      </c>
      <c r="G8" s="57" t="str">
        <f>IF('5. Matriz IPERC'!V9="","",'5. Matriz IPERC'!V9)</f>
        <v>Intolerable</v>
      </c>
      <c r="H8" s="55" t="str">
        <f>IF('5. Matriz IPERC'!AF9="","",'5. Matriz IPERC'!AF9)</f>
        <v>Supervisor de planta</v>
      </c>
      <c r="I8" s="57" t="str">
        <f>IF('5. Matriz IPERC'!AG9="","",'5. Matriz IPERC'!AG9)</f>
        <v>30 días</v>
      </c>
    </row>
    <row r="9" spans="2:52" ht="33.75" customHeight="1" x14ac:dyDescent="0.25">
      <c r="B9" s="56">
        <f>'5. Matriz IPERC'!B10</f>
        <v>5</v>
      </c>
      <c r="C9" s="54" t="str">
        <f>IF('5. Matriz IPERC'!J10="","",'5. Matriz IPERC'!J10)</f>
        <v>Trabajo en altura (&gt;1.8 m)</v>
      </c>
      <c r="D9" s="54" t="str">
        <f>IF('5. Matriz IPERC'!L10="","",'5. Matriz IPERC'!L10)</f>
        <v>Caída de persona a distinto nivel</v>
      </c>
      <c r="E9" s="54" t="str">
        <f>IF('5. Matriz IPERC'!Y10="","",'5. Matriz IPERC'!Y10)</f>
        <v>Líneas de vida y anclajes certificados, barandas, permiso de trabajo en altura, inspección preuso</v>
      </c>
      <c r="F9" s="54" t="str">
        <f>IF('5. Matriz IPERC'!X10="","",'5. Matriz IPERC'!X10)</f>
        <v>Ingeniería</v>
      </c>
      <c r="G9" s="56" t="str">
        <f>IF('5. Matriz IPERC'!V10="","",'5. Matriz IPERC'!V10)</f>
        <v>Intolerable</v>
      </c>
      <c r="H9" s="54" t="str">
        <f>IF('5. Matriz IPERC'!AF10="","",'5. Matriz IPERC'!AF10)</f>
        <v>Ingeniero residente</v>
      </c>
      <c r="I9" s="56" t="str">
        <f>IF('5. Matriz IPERC'!AG10="","",'5. Matriz IPERC'!AG10)</f>
        <v>Inmediato</v>
      </c>
    </row>
    <row r="10" spans="2:52" ht="33.75" customHeight="1" x14ac:dyDescent="0.25">
      <c r="B10" s="57">
        <f>'5. Matriz IPERC'!B11</f>
        <v>6</v>
      </c>
      <c r="C10" s="55" t="str">
        <f>IF('5. Matriz IPERC'!J11="","",'5. Matriz IPERC'!J11)</f>
        <v>Manipulación de residuos biocontaminados</v>
      </c>
      <c r="D10" s="55" t="str">
        <f>IF('5. Matriz IPERC'!L11="","",'5. Matriz IPERC'!L11)</f>
        <v>Contacto con fluidos / residuos sólidos hospitalarios</v>
      </c>
      <c r="E10" s="55" t="str">
        <f>IF('5. Matriz IPERC'!Y11="","",'5. Matriz IPERC'!Y11)</f>
        <v>Contenedores rígidos, ruta diferenciada, vacunación, protocolo de segregación, EPP completo</v>
      </c>
      <c r="F10" s="55" t="str">
        <f>IF('5. Matriz IPERC'!X11="","",'5. Matriz IPERC'!X11)</f>
        <v>Administrativo</v>
      </c>
      <c r="G10" s="57" t="str">
        <f>IF('5. Matriz IPERC'!V11="","",'5. Matriz IPERC'!V11)</f>
        <v>Intolerable</v>
      </c>
      <c r="H10" s="55" t="str">
        <f>IF('5. Matriz IPERC'!AF11="","",'5. Matriz IPERC'!AF11)</f>
        <v>Jefe de enfermería</v>
      </c>
      <c r="I10" s="57" t="str">
        <f>IF('5. Matriz IPERC'!AG11="","",'5. Matriz IPERC'!AG11)</f>
        <v>30 días</v>
      </c>
    </row>
    <row r="11" spans="2:52" ht="33.75" customHeight="1" x14ac:dyDescent="0.25">
      <c r="B11" s="56">
        <f>'5. Matriz IPERC'!B12</f>
        <v>7</v>
      </c>
      <c r="C11" s="54" t="str">
        <f>IF('5. Matriz IPERC'!J12="","",'5. Matriz IPERC'!J12)</f>
        <v>Contacto eléctrico directo</v>
      </c>
      <c r="D11" s="54" t="str">
        <f>IF('5. Matriz IPERC'!L12="","",'5. Matriz IPERC'!L12)</f>
        <v>Contacto con partes energizadas</v>
      </c>
      <c r="E11" s="54" t="str">
        <f>IF('5. Matriz IPERC'!Y12="","",'5. Matriz IPERC'!Y12)</f>
        <v>Desenergizar, bloqueo y etiquetado, permiso de trabajo eléctrico, EPP dieléctrico, capacitación</v>
      </c>
      <c r="F11" s="54" t="str">
        <f>IF('5. Matriz IPERC'!X12="","",'5. Matriz IPERC'!X12)</f>
        <v>Administrativo</v>
      </c>
      <c r="G11" s="56" t="str">
        <f>IF('5. Matriz IPERC'!V12="","",'5. Matriz IPERC'!V12)</f>
        <v>Importante</v>
      </c>
      <c r="H11" s="54" t="str">
        <f>IF('5. Matriz IPERC'!AF12="","",'5. Matriz IPERC'!AF12)</f>
        <v>Jefe de mantenimiento</v>
      </c>
      <c r="I11" s="56" t="str">
        <f>IF('5. Matriz IPERC'!AG12="","",'5. Matriz IPERC'!AG12)</f>
        <v>20 días</v>
      </c>
    </row>
    <row r="12" spans="2:52" ht="33.75" customHeight="1" x14ac:dyDescent="0.25">
      <c r="B12" s="57">
        <f>'5. Matriz IPERC'!B13</f>
        <v>8</v>
      </c>
      <c r="C12" s="55" t="str">
        <f>IF('5. Matriz IPERC'!J13="","",'5. Matriz IPERC'!J13)</f>
        <v>Conducción de vehículos</v>
      </c>
      <c r="D12" s="55" t="str">
        <f>IF('5. Matriz IPERC'!L13="","",'5. Matriz IPERC'!L13)</f>
        <v>Accidente de tránsito</v>
      </c>
      <c r="E12" s="55" t="str">
        <f>IF('5. Matriz IPERC'!Y13="","",'5. Matriz IPERC'!Y13)</f>
        <v>Plan de manejo defensivo, control de fatiga y horas, mantenimiento preventivo, inspección preuso</v>
      </c>
      <c r="F12" s="55" t="str">
        <f>IF('5. Matriz IPERC'!X13="","",'5. Matriz IPERC'!X13)</f>
        <v>Administrativo</v>
      </c>
      <c r="G12" s="57" t="str">
        <f>IF('5. Matriz IPERC'!V13="","",'5. Matriz IPERC'!V13)</f>
        <v>Importante</v>
      </c>
      <c r="H12" s="55" t="str">
        <f>IF('5. Matriz IPERC'!AF13="","",'5. Matriz IPERC'!AF13)</f>
        <v>Jefe de flota</v>
      </c>
      <c r="I12" s="57" t="str">
        <f>IF('5. Matriz IPERC'!AG13="","",'5. Matriz IPERC'!AG13)</f>
        <v>30 días</v>
      </c>
    </row>
    <row r="13" spans="2:52" ht="33.75" customHeight="1" x14ac:dyDescent="0.25">
      <c r="B13" s="56">
        <f>'5. Matriz IPERC'!B14</f>
        <v>9</v>
      </c>
      <c r="C13" s="54" t="str">
        <f>IF('5. Matriz IPERC'!J14="","",'5. Matriz IPERC'!J14)</f>
        <v/>
      </c>
      <c r="D13" s="54" t="str">
        <f>IF('5. Matriz IPERC'!L14="","",'5. Matriz IPERC'!L14)</f>
        <v/>
      </c>
      <c r="E13" s="54" t="str">
        <f>IF('5. Matriz IPERC'!Y14="","",'5. Matriz IPERC'!Y14)</f>
        <v/>
      </c>
      <c r="F13" s="54" t="str">
        <f>IF('5. Matriz IPERC'!X14="","",'5. Matriz IPERC'!X14)</f>
        <v/>
      </c>
      <c r="G13" s="56" t="str">
        <f>IF('5. Matriz IPERC'!V14="","",'5. Matriz IPERC'!V14)</f>
        <v/>
      </c>
      <c r="H13" s="54" t="str">
        <f>IF('5. Matriz IPERC'!AF14="","",'5. Matriz IPERC'!AF14)</f>
        <v/>
      </c>
      <c r="I13" s="56" t="str">
        <f>IF('5. Matriz IPERC'!AG14="","",'5. Matriz IPERC'!AG14)</f>
        <v/>
      </c>
    </row>
    <row r="14" spans="2:52" ht="33.75" customHeight="1" x14ac:dyDescent="0.25">
      <c r="B14" s="57">
        <f>'5. Matriz IPERC'!B15</f>
        <v>10</v>
      </c>
      <c r="C14" s="55" t="str">
        <f>IF('5. Matriz IPERC'!J15="","",'5. Matriz IPERC'!J15)</f>
        <v/>
      </c>
      <c r="D14" s="55" t="str">
        <f>IF('5. Matriz IPERC'!L15="","",'5. Matriz IPERC'!L15)</f>
        <v/>
      </c>
      <c r="E14" s="55" t="str">
        <f>IF('5. Matriz IPERC'!Y15="","",'5. Matriz IPERC'!Y15)</f>
        <v/>
      </c>
      <c r="F14" s="55" t="str">
        <f>IF('5. Matriz IPERC'!X15="","",'5. Matriz IPERC'!X15)</f>
        <v/>
      </c>
      <c r="G14" s="57" t="str">
        <f>IF('5. Matriz IPERC'!V15="","",'5. Matriz IPERC'!V15)</f>
        <v/>
      </c>
      <c r="H14" s="55" t="str">
        <f>IF('5. Matriz IPERC'!AF15="","",'5. Matriz IPERC'!AF15)</f>
        <v/>
      </c>
      <c r="I14" s="57" t="str">
        <f>IF('5. Matriz IPERC'!AG15="","",'5. Matriz IPERC'!AG15)</f>
        <v/>
      </c>
    </row>
    <row r="15" spans="2:52" ht="33.75" customHeight="1" x14ac:dyDescent="0.25">
      <c r="B15" s="56">
        <f>'5. Matriz IPERC'!B16</f>
        <v>11</v>
      </c>
      <c r="C15" s="54" t="str">
        <f>IF('5. Matriz IPERC'!J16="","",'5. Matriz IPERC'!J16)</f>
        <v/>
      </c>
      <c r="D15" s="54" t="str">
        <f>IF('5. Matriz IPERC'!L16="","",'5. Matriz IPERC'!L16)</f>
        <v/>
      </c>
      <c r="E15" s="54" t="str">
        <f>IF('5. Matriz IPERC'!Y16="","",'5. Matriz IPERC'!Y16)</f>
        <v/>
      </c>
      <c r="F15" s="54" t="str">
        <f>IF('5. Matriz IPERC'!X16="","",'5. Matriz IPERC'!X16)</f>
        <v/>
      </c>
      <c r="G15" s="56" t="str">
        <f>IF('5. Matriz IPERC'!V16="","",'5. Matriz IPERC'!V16)</f>
        <v/>
      </c>
      <c r="H15" s="54" t="str">
        <f>IF('5. Matriz IPERC'!AF16="","",'5. Matriz IPERC'!AF16)</f>
        <v/>
      </c>
      <c r="I15" s="56" t="str">
        <f>IF('5. Matriz IPERC'!AG16="","",'5. Matriz IPERC'!AG16)</f>
        <v/>
      </c>
    </row>
    <row r="16" spans="2:52" ht="33.75" customHeight="1" x14ac:dyDescent="0.25">
      <c r="B16" s="57">
        <f>'5. Matriz IPERC'!B17</f>
        <v>12</v>
      </c>
      <c r="C16" s="55" t="str">
        <f>IF('5. Matriz IPERC'!J17="","",'5. Matriz IPERC'!J17)</f>
        <v/>
      </c>
      <c r="D16" s="55" t="str">
        <f>IF('5. Matriz IPERC'!L17="","",'5. Matriz IPERC'!L17)</f>
        <v/>
      </c>
      <c r="E16" s="55" t="str">
        <f>IF('5. Matriz IPERC'!Y17="","",'5. Matriz IPERC'!Y17)</f>
        <v/>
      </c>
      <c r="F16" s="55" t="str">
        <f>IF('5. Matriz IPERC'!X17="","",'5. Matriz IPERC'!X17)</f>
        <v/>
      </c>
      <c r="G16" s="57" t="str">
        <f>IF('5. Matriz IPERC'!V17="","",'5. Matriz IPERC'!V17)</f>
        <v/>
      </c>
      <c r="H16" s="55" t="str">
        <f>IF('5. Matriz IPERC'!AF17="","",'5. Matriz IPERC'!AF17)</f>
        <v/>
      </c>
      <c r="I16" s="57" t="str">
        <f>IF('5. Matriz IPERC'!AG17="","",'5. Matriz IPERC'!AG17)</f>
        <v/>
      </c>
    </row>
    <row r="17" spans="2:9" ht="33.75" customHeight="1" x14ac:dyDescent="0.25">
      <c r="B17" s="56">
        <f>'5. Matriz IPERC'!B18</f>
        <v>13</v>
      </c>
      <c r="C17" s="54" t="str">
        <f>IF('5. Matriz IPERC'!J18="","",'5. Matriz IPERC'!J18)</f>
        <v/>
      </c>
      <c r="D17" s="54" t="str">
        <f>IF('5. Matriz IPERC'!L18="","",'5. Matriz IPERC'!L18)</f>
        <v/>
      </c>
      <c r="E17" s="54" t="str">
        <f>IF('5. Matriz IPERC'!Y18="","",'5. Matriz IPERC'!Y18)</f>
        <v/>
      </c>
      <c r="F17" s="54" t="str">
        <f>IF('5. Matriz IPERC'!X18="","",'5. Matriz IPERC'!X18)</f>
        <v/>
      </c>
      <c r="G17" s="56" t="str">
        <f>IF('5. Matriz IPERC'!V18="","",'5. Matriz IPERC'!V18)</f>
        <v/>
      </c>
      <c r="H17" s="54" t="str">
        <f>IF('5. Matriz IPERC'!AF18="","",'5. Matriz IPERC'!AF18)</f>
        <v/>
      </c>
      <c r="I17" s="56" t="str">
        <f>IF('5. Matriz IPERC'!AG18="","",'5. Matriz IPERC'!AG18)</f>
        <v/>
      </c>
    </row>
    <row r="18" spans="2:9" ht="33.75" customHeight="1" x14ac:dyDescent="0.25">
      <c r="B18" s="57">
        <f>'5. Matriz IPERC'!B19</f>
        <v>14</v>
      </c>
      <c r="C18" s="55" t="str">
        <f>IF('5. Matriz IPERC'!J19="","",'5. Matriz IPERC'!J19)</f>
        <v/>
      </c>
      <c r="D18" s="55" t="str">
        <f>IF('5. Matriz IPERC'!L19="","",'5. Matriz IPERC'!L19)</f>
        <v/>
      </c>
      <c r="E18" s="55" t="str">
        <f>IF('5. Matriz IPERC'!Y19="","",'5. Matriz IPERC'!Y19)</f>
        <v/>
      </c>
      <c r="F18" s="55" t="str">
        <f>IF('5. Matriz IPERC'!X19="","",'5. Matriz IPERC'!X19)</f>
        <v/>
      </c>
      <c r="G18" s="57" t="str">
        <f>IF('5. Matriz IPERC'!V19="","",'5. Matriz IPERC'!V19)</f>
        <v/>
      </c>
      <c r="H18" s="55" t="str">
        <f>IF('5. Matriz IPERC'!AF19="","",'5. Matriz IPERC'!AF19)</f>
        <v/>
      </c>
      <c r="I18" s="57" t="str">
        <f>IF('5. Matriz IPERC'!AG19="","",'5. Matriz IPERC'!AG19)</f>
        <v/>
      </c>
    </row>
    <row r="19" spans="2:9" ht="33.75" customHeight="1" x14ac:dyDescent="0.25">
      <c r="B19" s="56">
        <f>'5. Matriz IPERC'!B20</f>
        <v>15</v>
      </c>
      <c r="C19" s="54" t="str">
        <f>IF('5. Matriz IPERC'!J20="","",'5. Matriz IPERC'!J20)</f>
        <v/>
      </c>
      <c r="D19" s="54" t="str">
        <f>IF('5. Matriz IPERC'!L20="","",'5. Matriz IPERC'!L20)</f>
        <v/>
      </c>
      <c r="E19" s="54" t="str">
        <f>IF('5. Matriz IPERC'!Y20="","",'5. Matriz IPERC'!Y20)</f>
        <v/>
      </c>
      <c r="F19" s="54" t="str">
        <f>IF('5. Matriz IPERC'!X20="","",'5. Matriz IPERC'!X20)</f>
        <v/>
      </c>
      <c r="G19" s="56" t="str">
        <f>IF('5. Matriz IPERC'!V20="","",'5. Matriz IPERC'!V20)</f>
        <v/>
      </c>
      <c r="H19" s="54" t="str">
        <f>IF('5. Matriz IPERC'!AF20="","",'5. Matriz IPERC'!AF20)</f>
        <v/>
      </c>
      <c r="I19" s="56" t="str">
        <f>IF('5. Matriz IPERC'!AG20="","",'5. Matriz IPERC'!AG20)</f>
        <v/>
      </c>
    </row>
    <row r="20" spans="2:9" ht="33.75" customHeight="1" x14ac:dyDescent="0.25">
      <c r="B20" s="57">
        <f>'5. Matriz IPERC'!B21</f>
        <v>16</v>
      </c>
      <c r="C20" s="55" t="str">
        <f>IF('5. Matriz IPERC'!J21="","",'5. Matriz IPERC'!J21)</f>
        <v/>
      </c>
      <c r="D20" s="55" t="str">
        <f>IF('5. Matriz IPERC'!L21="","",'5. Matriz IPERC'!L21)</f>
        <v/>
      </c>
      <c r="E20" s="55" t="str">
        <f>IF('5. Matriz IPERC'!Y21="","",'5. Matriz IPERC'!Y21)</f>
        <v/>
      </c>
      <c r="F20" s="55" t="str">
        <f>IF('5. Matriz IPERC'!X21="","",'5. Matriz IPERC'!X21)</f>
        <v/>
      </c>
      <c r="G20" s="57" t="str">
        <f>IF('5. Matriz IPERC'!V21="","",'5. Matriz IPERC'!V21)</f>
        <v/>
      </c>
      <c r="H20" s="55" t="str">
        <f>IF('5. Matriz IPERC'!AF21="","",'5. Matriz IPERC'!AF21)</f>
        <v/>
      </c>
      <c r="I20" s="57" t="str">
        <f>IF('5. Matriz IPERC'!AG21="","",'5. Matriz IPERC'!AG21)</f>
        <v/>
      </c>
    </row>
    <row r="21" spans="2:9" ht="33.75" customHeight="1" x14ac:dyDescent="0.25">
      <c r="B21" s="56">
        <f>'5. Matriz IPERC'!B22</f>
        <v>17</v>
      </c>
      <c r="C21" s="54" t="str">
        <f>IF('5. Matriz IPERC'!J22="","",'5. Matriz IPERC'!J22)</f>
        <v/>
      </c>
      <c r="D21" s="54" t="str">
        <f>IF('5. Matriz IPERC'!L22="","",'5. Matriz IPERC'!L22)</f>
        <v/>
      </c>
      <c r="E21" s="54" t="str">
        <f>IF('5. Matriz IPERC'!Y22="","",'5. Matriz IPERC'!Y22)</f>
        <v/>
      </c>
      <c r="F21" s="54" t="str">
        <f>IF('5. Matriz IPERC'!X22="","",'5. Matriz IPERC'!X22)</f>
        <v/>
      </c>
      <c r="G21" s="56" t="str">
        <f>IF('5. Matriz IPERC'!V22="","",'5. Matriz IPERC'!V22)</f>
        <v/>
      </c>
      <c r="H21" s="54" t="str">
        <f>IF('5. Matriz IPERC'!AF22="","",'5. Matriz IPERC'!AF22)</f>
        <v/>
      </c>
      <c r="I21" s="56" t="str">
        <f>IF('5. Matriz IPERC'!AG22="","",'5. Matriz IPERC'!AG22)</f>
        <v/>
      </c>
    </row>
    <row r="22" spans="2:9" ht="33.75" customHeight="1" x14ac:dyDescent="0.25">
      <c r="B22" s="57">
        <f>'5. Matriz IPERC'!B23</f>
        <v>18</v>
      </c>
      <c r="C22" s="55" t="str">
        <f>IF('5. Matriz IPERC'!J23="","",'5. Matriz IPERC'!J23)</f>
        <v/>
      </c>
      <c r="D22" s="55" t="str">
        <f>IF('5. Matriz IPERC'!L23="","",'5. Matriz IPERC'!L23)</f>
        <v/>
      </c>
      <c r="E22" s="55" t="str">
        <f>IF('5. Matriz IPERC'!Y23="","",'5. Matriz IPERC'!Y23)</f>
        <v/>
      </c>
      <c r="F22" s="55" t="str">
        <f>IF('5. Matriz IPERC'!X23="","",'5. Matriz IPERC'!X23)</f>
        <v/>
      </c>
      <c r="G22" s="57" t="str">
        <f>IF('5. Matriz IPERC'!V23="","",'5. Matriz IPERC'!V23)</f>
        <v/>
      </c>
      <c r="H22" s="55" t="str">
        <f>IF('5. Matriz IPERC'!AF23="","",'5. Matriz IPERC'!AF23)</f>
        <v/>
      </c>
      <c r="I22" s="57" t="str">
        <f>IF('5. Matriz IPERC'!AG23="","",'5. Matriz IPERC'!AG23)</f>
        <v/>
      </c>
    </row>
    <row r="23" spans="2:9" ht="33.75" customHeight="1" x14ac:dyDescent="0.25">
      <c r="B23" s="56">
        <f>'5. Matriz IPERC'!B24</f>
        <v>19</v>
      </c>
      <c r="C23" s="54" t="str">
        <f>IF('5. Matriz IPERC'!J24="","",'5. Matriz IPERC'!J24)</f>
        <v/>
      </c>
      <c r="D23" s="54" t="str">
        <f>IF('5. Matriz IPERC'!L24="","",'5. Matriz IPERC'!L24)</f>
        <v/>
      </c>
      <c r="E23" s="54" t="str">
        <f>IF('5. Matriz IPERC'!Y24="","",'5. Matriz IPERC'!Y24)</f>
        <v/>
      </c>
      <c r="F23" s="54" t="str">
        <f>IF('5. Matriz IPERC'!X24="","",'5. Matriz IPERC'!X24)</f>
        <v/>
      </c>
      <c r="G23" s="56" t="str">
        <f>IF('5. Matriz IPERC'!V24="","",'5. Matriz IPERC'!V24)</f>
        <v/>
      </c>
      <c r="H23" s="54" t="str">
        <f>IF('5. Matriz IPERC'!AF24="","",'5. Matriz IPERC'!AF24)</f>
        <v/>
      </c>
      <c r="I23" s="56" t="str">
        <f>IF('5. Matriz IPERC'!AG24="","",'5. Matriz IPERC'!AG24)</f>
        <v/>
      </c>
    </row>
    <row r="24" spans="2:9" ht="33.75" customHeight="1" x14ac:dyDescent="0.25">
      <c r="B24" s="57">
        <f>'5. Matriz IPERC'!B25</f>
        <v>20</v>
      </c>
      <c r="C24" s="55" t="str">
        <f>IF('5. Matriz IPERC'!J25="","",'5. Matriz IPERC'!J25)</f>
        <v/>
      </c>
      <c r="D24" s="55" t="str">
        <f>IF('5. Matriz IPERC'!L25="","",'5. Matriz IPERC'!L25)</f>
        <v/>
      </c>
      <c r="E24" s="55" t="str">
        <f>IF('5. Matriz IPERC'!Y25="","",'5. Matriz IPERC'!Y25)</f>
        <v/>
      </c>
      <c r="F24" s="55" t="str">
        <f>IF('5. Matriz IPERC'!X25="","",'5. Matriz IPERC'!X25)</f>
        <v/>
      </c>
      <c r="G24" s="57" t="str">
        <f>IF('5. Matriz IPERC'!V25="","",'5. Matriz IPERC'!V25)</f>
        <v/>
      </c>
      <c r="H24" s="55" t="str">
        <f>IF('5. Matriz IPERC'!AF25="","",'5. Matriz IPERC'!AF25)</f>
        <v/>
      </c>
      <c r="I24" s="57" t="str">
        <f>IF('5. Matriz IPERC'!AG25="","",'5. Matriz IPERC'!AG25)</f>
        <v/>
      </c>
    </row>
    <row r="25" spans="2:9" ht="33.75" customHeight="1" x14ac:dyDescent="0.25">
      <c r="B25" s="56">
        <f>'5. Matriz IPERC'!B26</f>
        <v>21</v>
      </c>
      <c r="C25" s="54" t="str">
        <f>IF('5. Matriz IPERC'!J26="","",'5. Matriz IPERC'!J26)</f>
        <v/>
      </c>
      <c r="D25" s="54" t="str">
        <f>IF('5. Matriz IPERC'!L26="","",'5. Matriz IPERC'!L26)</f>
        <v/>
      </c>
      <c r="E25" s="54" t="str">
        <f>IF('5. Matriz IPERC'!Y26="","",'5. Matriz IPERC'!Y26)</f>
        <v/>
      </c>
      <c r="F25" s="54" t="str">
        <f>IF('5. Matriz IPERC'!X26="","",'5. Matriz IPERC'!X26)</f>
        <v/>
      </c>
      <c r="G25" s="56" t="str">
        <f>IF('5. Matriz IPERC'!V26="","",'5. Matriz IPERC'!V26)</f>
        <v/>
      </c>
      <c r="H25" s="54" t="str">
        <f>IF('5. Matriz IPERC'!AF26="","",'5. Matriz IPERC'!AF26)</f>
        <v/>
      </c>
      <c r="I25" s="56" t="str">
        <f>IF('5. Matriz IPERC'!AG26="","",'5. Matriz IPERC'!AG26)</f>
        <v/>
      </c>
    </row>
    <row r="26" spans="2:9" ht="33.75" customHeight="1" x14ac:dyDescent="0.25">
      <c r="B26" s="57">
        <f>'5. Matriz IPERC'!B27</f>
        <v>22</v>
      </c>
      <c r="C26" s="55" t="str">
        <f>IF('5. Matriz IPERC'!J27="","",'5. Matriz IPERC'!J27)</f>
        <v/>
      </c>
      <c r="D26" s="55" t="str">
        <f>IF('5. Matriz IPERC'!L27="","",'5. Matriz IPERC'!L27)</f>
        <v/>
      </c>
      <c r="E26" s="55" t="str">
        <f>IF('5. Matriz IPERC'!Y27="","",'5. Matriz IPERC'!Y27)</f>
        <v/>
      </c>
      <c r="F26" s="55" t="str">
        <f>IF('5. Matriz IPERC'!X27="","",'5. Matriz IPERC'!X27)</f>
        <v/>
      </c>
      <c r="G26" s="57" t="str">
        <f>IF('5. Matriz IPERC'!V27="","",'5. Matriz IPERC'!V27)</f>
        <v/>
      </c>
      <c r="H26" s="55" t="str">
        <f>IF('5. Matriz IPERC'!AF27="","",'5. Matriz IPERC'!AF27)</f>
        <v/>
      </c>
      <c r="I26" s="57" t="str">
        <f>IF('5. Matriz IPERC'!AG27="","",'5. Matriz IPERC'!AG27)</f>
        <v/>
      </c>
    </row>
    <row r="27" spans="2:9" ht="33.75" customHeight="1" x14ac:dyDescent="0.25">
      <c r="B27" s="56">
        <f>'5. Matriz IPERC'!B28</f>
        <v>23</v>
      </c>
      <c r="C27" s="54" t="str">
        <f>IF('5. Matriz IPERC'!J28="","",'5. Matriz IPERC'!J28)</f>
        <v/>
      </c>
      <c r="D27" s="54" t="str">
        <f>IF('5. Matriz IPERC'!L28="","",'5. Matriz IPERC'!L28)</f>
        <v/>
      </c>
      <c r="E27" s="54" t="str">
        <f>IF('5. Matriz IPERC'!Y28="","",'5. Matriz IPERC'!Y28)</f>
        <v/>
      </c>
      <c r="F27" s="54" t="str">
        <f>IF('5. Matriz IPERC'!X28="","",'5. Matriz IPERC'!X28)</f>
        <v/>
      </c>
      <c r="G27" s="56" t="str">
        <f>IF('5. Matriz IPERC'!V28="","",'5. Matriz IPERC'!V28)</f>
        <v/>
      </c>
      <c r="H27" s="54" t="str">
        <f>IF('5. Matriz IPERC'!AF28="","",'5. Matriz IPERC'!AF28)</f>
        <v/>
      </c>
      <c r="I27" s="56" t="str">
        <f>IF('5. Matriz IPERC'!AG28="","",'5. Matriz IPERC'!AG28)</f>
        <v/>
      </c>
    </row>
    <row r="28" spans="2:9" ht="33.75" customHeight="1" x14ac:dyDescent="0.25">
      <c r="B28" s="57">
        <f>'5. Matriz IPERC'!B29</f>
        <v>24</v>
      </c>
      <c r="C28" s="55" t="str">
        <f>IF('5. Matriz IPERC'!J29="","",'5. Matriz IPERC'!J29)</f>
        <v/>
      </c>
      <c r="D28" s="55" t="str">
        <f>IF('5. Matriz IPERC'!L29="","",'5. Matriz IPERC'!L29)</f>
        <v/>
      </c>
      <c r="E28" s="55" t="str">
        <f>IF('5. Matriz IPERC'!Y29="","",'5. Matriz IPERC'!Y29)</f>
        <v/>
      </c>
      <c r="F28" s="55" t="str">
        <f>IF('5. Matriz IPERC'!X29="","",'5. Matriz IPERC'!X29)</f>
        <v/>
      </c>
      <c r="G28" s="57" t="str">
        <f>IF('5. Matriz IPERC'!V29="","",'5. Matriz IPERC'!V29)</f>
        <v/>
      </c>
      <c r="H28" s="55" t="str">
        <f>IF('5. Matriz IPERC'!AF29="","",'5. Matriz IPERC'!AF29)</f>
        <v/>
      </c>
      <c r="I28" s="57" t="str">
        <f>IF('5. Matriz IPERC'!AG29="","",'5. Matriz IPERC'!AG29)</f>
        <v/>
      </c>
    </row>
    <row r="29" spans="2:9" ht="33.75" customHeight="1" x14ac:dyDescent="0.25">
      <c r="B29" s="56">
        <f>'5. Matriz IPERC'!B30</f>
        <v>25</v>
      </c>
      <c r="C29" s="54" t="str">
        <f>IF('5. Matriz IPERC'!J30="","",'5. Matriz IPERC'!J30)</f>
        <v/>
      </c>
      <c r="D29" s="54" t="str">
        <f>IF('5. Matriz IPERC'!L30="","",'5. Matriz IPERC'!L30)</f>
        <v/>
      </c>
      <c r="E29" s="54" t="str">
        <f>IF('5. Matriz IPERC'!Y30="","",'5. Matriz IPERC'!Y30)</f>
        <v/>
      </c>
      <c r="F29" s="54" t="str">
        <f>IF('5. Matriz IPERC'!X30="","",'5. Matriz IPERC'!X30)</f>
        <v/>
      </c>
      <c r="G29" s="56" t="str">
        <f>IF('5. Matriz IPERC'!V30="","",'5. Matriz IPERC'!V30)</f>
        <v/>
      </c>
      <c r="H29" s="54" t="str">
        <f>IF('5. Matriz IPERC'!AF30="","",'5. Matriz IPERC'!AF30)</f>
        <v/>
      </c>
      <c r="I29" s="56" t="str">
        <f>IF('5. Matriz IPERC'!AG30="","",'5. Matriz IPERC'!AG30)</f>
        <v/>
      </c>
    </row>
    <row r="30" spans="2:9" ht="33.75" customHeight="1" x14ac:dyDescent="0.25">
      <c r="B30" s="57">
        <f>'5. Matriz IPERC'!B31</f>
        <v>26</v>
      </c>
      <c r="C30" s="55" t="str">
        <f>IF('5. Matriz IPERC'!J31="","",'5. Matriz IPERC'!J31)</f>
        <v/>
      </c>
      <c r="D30" s="55" t="str">
        <f>IF('5. Matriz IPERC'!L31="","",'5. Matriz IPERC'!L31)</f>
        <v/>
      </c>
      <c r="E30" s="55" t="str">
        <f>IF('5. Matriz IPERC'!Y31="","",'5. Matriz IPERC'!Y31)</f>
        <v/>
      </c>
      <c r="F30" s="55" t="str">
        <f>IF('5. Matriz IPERC'!X31="","",'5. Matriz IPERC'!X31)</f>
        <v/>
      </c>
      <c r="G30" s="57" t="str">
        <f>IF('5. Matriz IPERC'!V31="","",'5. Matriz IPERC'!V31)</f>
        <v/>
      </c>
      <c r="H30" s="55" t="str">
        <f>IF('5. Matriz IPERC'!AF31="","",'5. Matriz IPERC'!AF31)</f>
        <v/>
      </c>
      <c r="I30" s="57" t="str">
        <f>IF('5. Matriz IPERC'!AG31="","",'5. Matriz IPERC'!AG31)</f>
        <v/>
      </c>
    </row>
    <row r="31" spans="2:9" ht="33.75" customHeight="1" x14ac:dyDescent="0.25">
      <c r="B31" s="56">
        <f>'5. Matriz IPERC'!B32</f>
        <v>27</v>
      </c>
      <c r="C31" s="54" t="str">
        <f>IF('5. Matriz IPERC'!J32="","",'5. Matriz IPERC'!J32)</f>
        <v/>
      </c>
      <c r="D31" s="54" t="str">
        <f>IF('5. Matriz IPERC'!L32="","",'5. Matriz IPERC'!L32)</f>
        <v/>
      </c>
      <c r="E31" s="54" t="str">
        <f>IF('5. Matriz IPERC'!Y32="","",'5. Matriz IPERC'!Y32)</f>
        <v/>
      </c>
      <c r="F31" s="54" t="str">
        <f>IF('5. Matriz IPERC'!X32="","",'5. Matriz IPERC'!X32)</f>
        <v/>
      </c>
      <c r="G31" s="56" t="str">
        <f>IF('5. Matriz IPERC'!V32="","",'5. Matriz IPERC'!V32)</f>
        <v/>
      </c>
      <c r="H31" s="54" t="str">
        <f>IF('5. Matriz IPERC'!AF32="","",'5. Matriz IPERC'!AF32)</f>
        <v/>
      </c>
      <c r="I31" s="56" t="str">
        <f>IF('5. Matriz IPERC'!AG32="","",'5. Matriz IPERC'!AG32)</f>
        <v/>
      </c>
    </row>
    <row r="32" spans="2:9" ht="33.75" customHeight="1" x14ac:dyDescent="0.25">
      <c r="B32" s="57">
        <f>'5. Matriz IPERC'!B33</f>
        <v>28</v>
      </c>
      <c r="C32" s="55" t="str">
        <f>IF('5. Matriz IPERC'!J33="","",'5. Matriz IPERC'!J33)</f>
        <v/>
      </c>
      <c r="D32" s="55" t="str">
        <f>IF('5. Matriz IPERC'!L33="","",'5. Matriz IPERC'!L33)</f>
        <v/>
      </c>
      <c r="E32" s="55" t="str">
        <f>IF('5. Matriz IPERC'!Y33="","",'5. Matriz IPERC'!Y33)</f>
        <v/>
      </c>
      <c r="F32" s="55" t="str">
        <f>IF('5. Matriz IPERC'!X33="","",'5. Matriz IPERC'!X33)</f>
        <v/>
      </c>
      <c r="G32" s="57" t="str">
        <f>IF('5. Matriz IPERC'!V33="","",'5. Matriz IPERC'!V33)</f>
        <v/>
      </c>
      <c r="H32" s="55" t="str">
        <f>IF('5. Matriz IPERC'!AF33="","",'5. Matriz IPERC'!AF33)</f>
        <v/>
      </c>
      <c r="I32" s="57" t="str">
        <f>IF('5. Matriz IPERC'!AG33="","",'5. Matriz IPERC'!AG33)</f>
        <v/>
      </c>
    </row>
    <row r="33" spans="2:9" ht="33.75" customHeight="1" x14ac:dyDescent="0.25">
      <c r="B33" s="56">
        <f>'5. Matriz IPERC'!B34</f>
        <v>29</v>
      </c>
      <c r="C33" s="54" t="str">
        <f>IF('5. Matriz IPERC'!J34="","",'5. Matriz IPERC'!J34)</f>
        <v/>
      </c>
      <c r="D33" s="54" t="str">
        <f>IF('5. Matriz IPERC'!L34="","",'5. Matriz IPERC'!L34)</f>
        <v/>
      </c>
      <c r="E33" s="54" t="str">
        <f>IF('5. Matriz IPERC'!Y34="","",'5. Matriz IPERC'!Y34)</f>
        <v/>
      </c>
      <c r="F33" s="54" t="str">
        <f>IF('5. Matriz IPERC'!X34="","",'5. Matriz IPERC'!X34)</f>
        <v/>
      </c>
      <c r="G33" s="56" t="str">
        <f>IF('5. Matriz IPERC'!V34="","",'5. Matriz IPERC'!V34)</f>
        <v/>
      </c>
      <c r="H33" s="54" t="str">
        <f>IF('5. Matriz IPERC'!AF34="","",'5. Matriz IPERC'!AF34)</f>
        <v/>
      </c>
      <c r="I33" s="56" t="str">
        <f>IF('5. Matriz IPERC'!AG34="","",'5. Matriz IPERC'!AG34)</f>
        <v/>
      </c>
    </row>
    <row r="34" spans="2:9" ht="33.75" customHeight="1" x14ac:dyDescent="0.25">
      <c r="B34" s="57">
        <f>'5. Matriz IPERC'!B35</f>
        <v>30</v>
      </c>
      <c r="C34" s="55" t="str">
        <f>IF('5. Matriz IPERC'!J35="","",'5. Matriz IPERC'!J35)</f>
        <v/>
      </c>
      <c r="D34" s="55" t="str">
        <f>IF('5. Matriz IPERC'!L35="","",'5. Matriz IPERC'!L35)</f>
        <v/>
      </c>
      <c r="E34" s="55" t="str">
        <f>IF('5. Matriz IPERC'!Y35="","",'5. Matriz IPERC'!Y35)</f>
        <v/>
      </c>
      <c r="F34" s="55" t="str">
        <f>IF('5. Matriz IPERC'!X35="","",'5. Matriz IPERC'!X35)</f>
        <v/>
      </c>
      <c r="G34" s="57" t="str">
        <f>IF('5. Matriz IPERC'!V35="","",'5. Matriz IPERC'!V35)</f>
        <v/>
      </c>
      <c r="H34" s="55" t="str">
        <f>IF('5. Matriz IPERC'!AF35="","",'5. Matriz IPERC'!AF35)</f>
        <v/>
      </c>
      <c r="I34" s="57" t="str">
        <f>IF('5. Matriz IPERC'!AG35="","",'5. Matriz IPERC'!AG35)</f>
        <v/>
      </c>
    </row>
    <row r="35" spans="2:9" ht="33.75" customHeight="1" x14ac:dyDescent="0.25">
      <c r="B35" s="56">
        <f>'5. Matriz IPERC'!B36</f>
        <v>31</v>
      </c>
      <c r="C35" s="54" t="str">
        <f>IF('5. Matriz IPERC'!J36="","",'5. Matriz IPERC'!J36)</f>
        <v/>
      </c>
      <c r="D35" s="54" t="str">
        <f>IF('5. Matriz IPERC'!L36="","",'5. Matriz IPERC'!L36)</f>
        <v/>
      </c>
      <c r="E35" s="54" t="str">
        <f>IF('5. Matriz IPERC'!Y36="","",'5. Matriz IPERC'!Y36)</f>
        <v/>
      </c>
      <c r="F35" s="54" t="str">
        <f>IF('5. Matriz IPERC'!X36="","",'5. Matriz IPERC'!X36)</f>
        <v/>
      </c>
      <c r="G35" s="56" t="str">
        <f>IF('5. Matriz IPERC'!V36="","",'5. Matriz IPERC'!V36)</f>
        <v/>
      </c>
      <c r="H35" s="54" t="str">
        <f>IF('5. Matriz IPERC'!AF36="","",'5. Matriz IPERC'!AF36)</f>
        <v/>
      </c>
      <c r="I35" s="56" t="str">
        <f>IF('5. Matriz IPERC'!AG36="","",'5. Matriz IPERC'!AG36)</f>
        <v/>
      </c>
    </row>
    <row r="36" spans="2:9" ht="33.75" customHeight="1" x14ac:dyDescent="0.25">
      <c r="B36" s="57">
        <f>'5. Matriz IPERC'!B37</f>
        <v>32</v>
      </c>
      <c r="C36" s="55" t="str">
        <f>IF('5. Matriz IPERC'!J37="","",'5. Matriz IPERC'!J37)</f>
        <v/>
      </c>
      <c r="D36" s="55" t="str">
        <f>IF('5. Matriz IPERC'!L37="","",'5. Matriz IPERC'!L37)</f>
        <v/>
      </c>
      <c r="E36" s="55" t="str">
        <f>IF('5. Matriz IPERC'!Y37="","",'5. Matriz IPERC'!Y37)</f>
        <v/>
      </c>
      <c r="F36" s="55" t="str">
        <f>IF('5. Matriz IPERC'!X37="","",'5. Matriz IPERC'!X37)</f>
        <v/>
      </c>
      <c r="G36" s="57" t="str">
        <f>IF('5. Matriz IPERC'!V37="","",'5. Matriz IPERC'!V37)</f>
        <v/>
      </c>
      <c r="H36" s="55" t="str">
        <f>IF('5. Matriz IPERC'!AF37="","",'5. Matriz IPERC'!AF37)</f>
        <v/>
      </c>
      <c r="I36" s="57" t="str">
        <f>IF('5. Matriz IPERC'!AG37="","",'5. Matriz IPERC'!AG37)</f>
        <v/>
      </c>
    </row>
    <row r="37" spans="2:9" ht="33.75" customHeight="1" x14ac:dyDescent="0.25">
      <c r="B37" s="56">
        <f>'5. Matriz IPERC'!B38</f>
        <v>33</v>
      </c>
      <c r="C37" s="54" t="str">
        <f>IF('5. Matriz IPERC'!J38="","",'5. Matriz IPERC'!J38)</f>
        <v/>
      </c>
      <c r="D37" s="54" t="str">
        <f>IF('5. Matriz IPERC'!L38="","",'5. Matriz IPERC'!L38)</f>
        <v/>
      </c>
      <c r="E37" s="54" t="str">
        <f>IF('5. Matriz IPERC'!Y38="","",'5. Matriz IPERC'!Y38)</f>
        <v/>
      </c>
      <c r="F37" s="54" t="str">
        <f>IF('5. Matriz IPERC'!X38="","",'5. Matriz IPERC'!X38)</f>
        <v/>
      </c>
      <c r="G37" s="56" t="str">
        <f>IF('5. Matriz IPERC'!V38="","",'5. Matriz IPERC'!V38)</f>
        <v/>
      </c>
      <c r="H37" s="54" t="str">
        <f>IF('5. Matriz IPERC'!AF38="","",'5. Matriz IPERC'!AF38)</f>
        <v/>
      </c>
      <c r="I37" s="56" t="str">
        <f>IF('5. Matriz IPERC'!AG38="","",'5. Matriz IPERC'!AG38)</f>
        <v/>
      </c>
    </row>
    <row r="38" spans="2:9" ht="33.75" customHeight="1" x14ac:dyDescent="0.25">
      <c r="B38" s="57">
        <f>'5. Matriz IPERC'!B39</f>
        <v>34</v>
      </c>
      <c r="C38" s="55" t="str">
        <f>IF('5. Matriz IPERC'!J39="","",'5. Matriz IPERC'!J39)</f>
        <v/>
      </c>
      <c r="D38" s="55" t="str">
        <f>IF('5. Matriz IPERC'!L39="","",'5. Matriz IPERC'!L39)</f>
        <v/>
      </c>
      <c r="E38" s="55" t="str">
        <f>IF('5. Matriz IPERC'!Y39="","",'5. Matriz IPERC'!Y39)</f>
        <v/>
      </c>
      <c r="F38" s="55" t="str">
        <f>IF('5. Matriz IPERC'!X39="","",'5. Matriz IPERC'!X39)</f>
        <v/>
      </c>
      <c r="G38" s="57" t="str">
        <f>IF('5. Matriz IPERC'!V39="","",'5. Matriz IPERC'!V39)</f>
        <v/>
      </c>
      <c r="H38" s="55" t="str">
        <f>IF('5. Matriz IPERC'!AF39="","",'5. Matriz IPERC'!AF39)</f>
        <v/>
      </c>
      <c r="I38" s="57" t="str">
        <f>IF('5. Matriz IPERC'!AG39="","",'5. Matriz IPERC'!AG39)</f>
        <v/>
      </c>
    </row>
    <row r="39" spans="2:9" ht="33.75" customHeight="1" x14ac:dyDescent="0.25">
      <c r="B39" s="56">
        <f>'5. Matriz IPERC'!B40</f>
        <v>35</v>
      </c>
      <c r="C39" s="54" t="str">
        <f>IF('5. Matriz IPERC'!J40="","",'5. Matriz IPERC'!J40)</f>
        <v/>
      </c>
      <c r="D39" s="54" t="str">
        <f>IF('5. Matriz IPERC'!L40="","",'5. Matriz IPERC'!L40)</f>
        <v/>
      </c>
      <c r="E39" s="54" t="str">
        <f>IF('5. Matriz IPERC'!Y40="","",'5. Matriz IPERC'!Y40)</f>
        <v/>
      </c>
      <c r="F39" s="54" t="str">
        <f>IF('5. Matriz IPERC'!X40="","",'5. Matriz IPERC'!X40)</f>
        <v/>
      </c>
      <c r="G39" s="56" t="str">
        <f>IF('5. Matriz IPERC'!V40="","",'5. Matriz IPERC'!V40)</f>
        <v/>
      </c>
      <c r="H39" s="54" t="str">
        <f>IF('5. Matriz IPERC'!AF40="","",'5. Matriz IPERC'!AF40)</f>
        <v/>
      </c>
      <c r="I39" s="56" t="str">
        <f>IF('5. Matriz IPERC'!AG40="","",'5. Matriz IPERC'!AG40)</f>
        <v/>
      </c>
    </row>
    <row r="40" spans="2:9" ht="33.75" customHeight="1" x14ac:dyDescent="0.25">
      <c r="B40" s="57">
        <f>'5. Matriz IPERC'!B41</f>
        <v>36</v>
      </c>
      <c r="C40" s="55" t="str">
        <f>IF('5. Matriz IPERC'!J41="","",'5. Matriz IPERC'!J41)</f>
        <v/>
      </c>
      <c r="D40" s="55" t="str">
        <f>IF('5. Matriz IPERC'!L41="","",'5. Matriz IPERC'!L41)</f>
        <v/>
      </c>
      <c r="E40" s="55" t="str">
        <f>IF('5. Matriz IPERC'!Y41="","",'5. Matriz IPERC'!Y41)</f>
        <v/>
      </c>
      <c r="F40" s="55" t="str">
        <f>IF('5. Matriz IPERC'!X41="","",'5. Matriz IPERC'!X41)</f>
        <v/>
      </c>
      <c r="G40" s="57" t="str">
        <f>IF('5. Matriz IPERC'!V41="","",'5. Matriz IPERC'!V41)</f>
        <v/>
      </c>
      <c r="H40" s="55" t="str">
        <f>IF('5. Matriz IPERC'!AF41="","",'5. Matriz IPERC'!AF41)</f>
        <v/>
      </c>
      <c r="I40" s="57" t="str">
        <f>IF('5. Matriz IPERC'!AG41="","",'5. Matriz IPERC'!AG41)</f>
        <v/>
      </c>
    </row>
    <row r="41" spans="2:9" ht="33.75" customHeight="1" x14ac:dyDescent="0.25">
      <c r="B41" s="56">
        <f>'5. Matriz IPERC'!B42</f>
        <v>37</v>
      </c>
      <c r="C41" s="54" t="str">
        <f>IF('5. Matriz IPERC'!J42="","",'5. Matriz IPERC'!J42)</f>
        <v/>
      </c>
      <c r="D41" s="54" t="str">
        <f>IF('5. Matriz IPERC'!L42="","",'5. Matriz IPERC'!L42)</f>
        <v/>
      </c>
      <c r="E41" s="54" t="str">
        <f>IF('5. Matriz IPERC'!Y42="","",'5. Matriz IPERC'!Y42)</f>
        <v/>
      </c>
      <c r="F41" s="54" t="str">
        <f>IF('5. Matriz IPERC'!X42="","",'5. Matriz IPERC'!X42)</f>
        <v/>
      </c>
      <c r="G41" s="56" t="str">
        <f>IF('5. Matriz IPERC'!V42="","",'5. Matriz IPERC'!V42)</f>
        <v/>
      </c>
      <c r="H41" s="54" t="str">
        <f>IF('5. Matriz IPERC'!AF42="","",'5. Matriz IPERC'!AF42)</f>
        <v/>
      </c>
      <c r="I41" s="56" t="str">
        <f>IF('5. Matriz IPERC'!AG42="","",'5. Matriz IPERC'!AG42)</f>
        <v/>
      </c>
    </row>
    <row r="42" spans="2:9" ht="33.75" customHeight="1" x14ac:dyDescent="0.25">
      <c r="B42" s="57">
        <f>'5. Matriz IPERC'!B43</f>
        <v>38</v>
      </c>
      <c r="C42" s="55" t="str">
        <f>IF('5. Matriz IPERC'!J43="","",'5. Matriz IPERC'!J43)</f>
        <v/>
      </c>
      <c r="D42" s="55" t="str">
        <f>IF('5. Matriz IPERC'!L43="","",'5. Matriz IPERC'!L43)</f>
        <v/>
      </c>
      <c r="E42" s="55" t="str">
        <f>IF('5. Matriz IPERC'!Y43="","",'5. Matriz IPERC'!Y43)</f>
        <v/>
      </c>
      <c r="F42" s="55" t="str">
        <f>IF('5. Matriz IPERC'!X43="","",'5. Matriz IPERC'!X43)</f>
        <v/>
      </c>
      <c r="G42" s="57" t="str">
        <f>IF('5. Matriz IPERC'!V43="","",'5. Matriz IPERC'!V43)</f>
        <v/>
      </c>
      <c r="H42" s="55" t="str">
        <f>IF('5. Matriz IPERC'!AF43="","",'5. Matriz IPERC'!AF43)</f>
        <v/>
      </c>
      <c r="I42" s="57" t="str">
        <f>IF('5. Matriz IPERC'!AG43="","",'5. Matriz IPERC'!AG43)</f>
        <v/>
      </c>
    </row>
    <row r="43" spans="2:9" ht="33.75" customHeight="1" x14ac:dyDescent="0.25">
      <c r="B43" s="56">
        <f>'5. Matriz IPERC'!B44</f>
        <v>39</v>
      </c>
      <c r="C43" s="54" t="str">
        <f>IF('5. Matriz IPERC'!J44="","",'5. Matriz IPERC'!J44)</f>
        <v/>
      </c>
      <c r="D43" s="54" t="str">
        <f>IF('5. Matriz IPERC'!L44="","",'5. Matriz IPERC'!L44)</f>
        <v/>
      </c>
      <c r="E43" s="54" t="str">
        <f>IF('5. Matriz IPERC'!Y44="","",'5. Matriz IPERC'!Y44)</f>
        <v/>
      </c>
      <c r="F43" s="54" t="str">
        <f>IF('5. Matriz IPERC'!X44="","",'5. Matriz IPERC'!X44)</f>
        <v/>
      </c>
      <c r="G43" s="56" t="str">
        <f>IF('5. Matriz IPERC'!V44="","",'5. Matriz IPERC'!V44)</f>
        <v/>
      </c>
      <c r="H43" s="54" t="str">
        <f>IF('5. Matriz IPERC'!AF44="","",'5. Matriz IPERC'!AF44)</f>
        <v/>
      </c>
      <c r="I43" s="56" t="str">
        <f>IF('5. Matriz IPERC'!AG44="","",'5. Matriz IPERC'!AG44)</f>
        <v/>
      </c>
    </row>
    <row r="44" spans="2:9" ht="33.75" customHeight="1" x14ac:dyDescent="0.25">
      <c r="B44" s="57">
        <f>'5. Matriz IPERC'!B45</f>
        <v>40</v>
      </c>
      <c r="C44" s="55" t="str">
        <f>IF('5. Matriz IPERC'!J45="","",'5. Matriz IPERC'!J45)</f>
        <v/>
      </c>
      <c r="D44" s="55" t="str">
        <f>IF('5. Matriz IPERC'!L45="","",'5. Matriz IPERC'!L45)</f>
        <v/>
      </c>
      <c r="E44" s="55" t="str">
        <f>IF('5. Matriz IPERC'!Y45="","",'5. Matriz IPERC'!Y45)</f>
        <v/>
      </c>
      <c r="F44" s="55" t="str">
        <f>IF('5. Matriz IPERC'!X45="","",'5. Matriz IPERC'!X45)</f>
        <v/>
      </c>
      <c r="G44" s="57" t="str">
        <f>IF('5. Matriz IPERC'!V45="","",'5. Matriz IPERC'!V45)</f>
        <v/>
      </c>
      <c r="H44" s="55" t="str">
        <f>IF('5. Matriz IPERC'!AF45="","",'5. Matriz IPERC'!AF45)</f>
        <v/>
      </c>
      <c r="I44" s="57" t="str">
        <f>IF('5. Matriz IPERC'!AG45="","",'5. Matriz IPERC'!AG45)</f>
        <v/>
      </c>
    </row>
    <row r="45" spans="2:9" ht="33.75" customHeight="1" x14ac:dyDescent="0.25">
      <c r="B45" s="56">
        <f>'5. Matriz IPERC'!B46</f>
        <v>41</v>
      </c>
      <c r="C45" s="54" t="str">
        <f>IF('5. Matriz IPERC'!J46="","",'5. Matriz IPERC'!J46)</f>
        <v/>
      </c>
      <c r="D45" s="54" t="str">
        <f>IF('5. Matriz IPERC'!L46="","",'5. Matriz IPERC'!L46)</f>
        <v/>
      </c>
      <c r="E45" s="54" t="str">
        <f>IF('5. Matriz IPERC'!Y46="","",'5. Matriz IPERC'!Y46)</f>
        <v/>
      </c>
      <c r="F45" s="54" t="str">
        <f>IF('5. Matriz IPERC'!X46="","",'5. Matriz IPERC'!X46)</f>
        <v/>
      </c>
      <c r="G45" s="56" t="str">
        <f>IF('5. Matriz IPERC'!V46="","",'5. Matriz IPERC'!V46)</f>
        <v/>
      </c>
      <c r="H45" s="54" t="str">
        <f>IF('5. Matriz IPERC'!AF46="","",'5. Matriz IPERC'!AF46)</f>
        <v/>
      </c>
      <c r="I45" s="56" t="str">
        <f>IF('5. Matriz IPERC'!AG46="","",'5. Matriz IPERC'!AG46)</f>
        <v/>
      </c>
    </row>
    <row r="46" spans="2:9" ht="33.75" customHeight="1" x14ac:dyDescent="0.25">
      <c r="B46" s="57">
        <f>'5. Matriz IPERC'!B47</f>
        <v>42</v>
      </c>
      <c r="C46" s="55" t="str">
        <f>IF('5. Matriz IPERC'!J47="","",'5. Matriz IPERC'!J47)</f>
        <v/>
      </c>
      <c r="D46" s="55" t="str">
        <f>IF('5. Matriz IPERC'!L47="","",'5. Matriz IPERC'!L47)</f>
        <v/>
      </c>
      <c r="E46" s="55" t="str">
        <f>IF('5. Matriz IPERC'!Y47="","",'5. Matriz IPERC'!Y47)</f>
        <v/>
      </c>
      <c r="F46" s="55" t="str">
        <f>IF('5. Matriz IPERC'!X47="","",'5. Matriz IPERC'!X47)</f>
        <v/>
      </c>
      <c r="G46" s="57" t="str">
        <f>IF('5. Matriz IPERC'!V47="","",'5. Matriz IPERC'!V47)</f>
        <v/>
      </c>
      <c r="H46" s="55" t="str">
        <f>IF('5. Matriz IPERC'!AF47="","",'5. Matriz IPERC'!AF47)</f>
        <v/>
      </c>
      <c r="I46" s="57" t="str">
        <f>IF('5. Matriz IPERC'!AG47="","",'5. Matriz IPERC'!AG47)</f>
        <v/>
      </c>
    </row>
    <row r="47" spans="2:9" ht="33.75" customHeight="1" x14ac:dyDescent="0.25">
      <c r="B47" s="56">
        <f>'5. Matriz IPERC'!B48</f>
        <v>43</v>
      </c>
      <c r="C47" s="54" t="str">
        <f>IF('5. Matriz IPERC'!J48="","",'5. Matriz IPERC'!J48)</f>
        <v/>
      </c>
      <c r="D47" s="54" t="str">
        <f>IF('5. Matriz IPERC'!L48="","",'5. Matriz IPERC'!L48)</f>
        <v/>
      </c>
      <c r="E47" s="54" t="str">
        <f>IF('5. Matriz IPERC'!Y48="","",'5. Matriz IPERC'!Y48)</f>
        <v/>
      </c>
      <c r="F47" s="54" t="str">
        <f>IF('5. Matriz IPERC'!X48="","",'5. Matriz IPERC'!X48)</f>
        <v/>
      </c>
      <c r="G47" s="56" t="str">
        <f>IF('5. Matriz IPERC'!V48="","",'5. Matriz IPERC'!V48)</f>
        <v/>
      </c>
      <c r="H47" s="54" t="str">
        <f>IF('5. Matriz IPERC'!AF48="","",'5. Matriz IPERC'!AF48)</f>
        <v/>
      </c>
      <c r="I47" s="56" t="str">
        <f>IF('5. Matriz IPERC'!AG48="","",'5. Matriz IPERC'!AG48)</f>
        <v/>
      </c>
    </row>
    <row r="48" spans="2:9" ht="33.75" customHeight="1" x14ac:dyDescent="0.25">
      <c r="B48" s="57">
        <f>'5. Matriz IPERC'!B49</f>
        <v>44</v>
      </c>
      <c r="C48" s="55" t="str">
        <f>IF('5. Matriz IPERC'!J49="","",'5. Matriz IPERC'!J49)</f>
        <v/>
      </c>
      <c r="D48" s="55" t="str">
        <f>IF('5. Matriz IPERC'!L49="","",'5. Matriz IPERC'!L49)</f>
        <v/>
      </c>
      <c r="E48" s="55" t="str">
        <f>IF('5. Matriz IPERC'!Y49="","",'5. Matriz IPERC'!Y49)</f>
        <v/>
      </c>
      <c r="F48" s="55" t="str">
        <f>IF('5. Matriz IPERC'!X49="","",'5. Matriz IPERC'!X49)</f>
        <v/>
      </c>
      <c r="G48" s="57" t="str">
        <f>IF('5. Matriz IPERC'!V49="","",'5. Matriz IPERC'!V49)</f>
        <v/>
      </c>
      <c r="H48" s="55" t="str">
        <f>IF('5. Matriz IPERC'!AF49="","",'5. Matriz IPERC'!AF49)</f>
        <v/>
      </c>
      <c r="I48" s="57" t="str">
        <f>IF('5. Matriz IPERC'!AG49="","",'5. Matriz IPERC'!AG49)</f>
        <v/>
      </c>
    </row>
    <row r="49" spans="2:9" ht="33.75" customHeight="1" x14ac:dyDescent="0.25">
      <c r="B49" s="56">
        <f>'5. Matriz IPERC'!B50</f>
        <v>45</v>
      </c>
      <c r="C49" s="54" t="str">
        <f>IF('5. Matriz IPERC'!J50="","",'5. Matriz IPERC'!J50)</f>
        <v/>
      </c>
      <c r="D49" s="54" t="str">
        <f>IF('5. Matriz IPERC'!L50="","",'5. Matriz IPERC'!L50)</f>
        <v/>
      </c>
      <c r="E49" s="54" t="str">
        <f>IF('5. Matriz IPERC'!Y50="","",'5. Matriz IPERC'!Y50)</f>
        <v/>
      </c>
      <c r="F49" s="54" t="str">
        <f>IF('5. Matriz IPERC'!X50="","",'5. Matriz IPERC'!X50)</f>
        <v/>
      </c>
      <c r="G49" s="56" t="str">
        <f>IF('5. Matriz IPERC'!V50="","",'5. Matriz IPERC'!V50)</f>
        <v/>
      </c>
      <c r="H49" s="54" t="str">
        <f>IF('5. Matriz IPERC'!AF50="","",'5. Matriz IPERC'!AF50)</f>
        <v/>
      </c>
      <c r="I49" s="56" t="str">
        <f>IF('5. Matriz IPERC'!AG50="","",'5. Matriz IPERC'!AG50)</f>
        <v/>
      </c>
    </row>
  </sheetData>
  <mergeCells count="2">
    <mergeCell ref="B2:I2"/>
    <mergeCell ref="B3:I3"/>
  </mergeCells>
  <conditionalFormatting sqref="G5:G49">
    <cfRule type="cellIs" dxfId="6" priority="2" operator="equal">
      <formula>"Intolerable"</formula>
    </cfRule>
    <cfRule type="cellIs" dxfId="5" priority="3" operator="equal">
      <formula>"Importante"</formula>
    </cfRule>
    <cfRule type="cellIs" dxfId="4" priority="4" operator="equal">
      <formula>"Moderado"</formula>
    </cfRule>
  </conditionalFormatting>
  <pageMargins left="0.4" right="0.4" top="0.5" bottom="0.5" header="0.511811023622047" footer="0.51180555555555596"/>
  <pageSetup paperSize="9" fitToHeight="0" orientation="landscape" horizontalDpi="300" verticalDpi="300"/>
  <headerFooter>
    <oddFooter>&amp;L&amp;7 IPERC Normativo Perú&amp;C&amp;7 Pág. &amp;P de &amp;N&amp;R&amp;7 © Ing. Pierre R. - peru.labs.pe@gmail.com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AZ15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2" width="28" customWidth="1"/>
    <col min="3" max="7" width="12" customWidth="1"/>
    <col min="8" max="8" width="14" customWidth="1"/>
  </cols>
  <sheetData>
    <row r="1" spans="2:52" ht="15" customHeight="1" x14ac:dyDescent="0.25">
      <c r="AZ1" s="18" t="s">
        <v>0</v>
      </c>
    </row>
    <row r="2" spans="2:52" ht="24" customHeight="1" x14ac:dyDescent="0.25">
      <c r="B2" s="74" t="s">
        <v>708</v>
      </c>
      <c r="C2" s="74"/>
      <c r="D2" s="74"/>
      <c r="E2" s="74"/>
      <c r="F2" s="74"/>
      <c r="G2" s="74"/>
      <c r="H2" s="74"/>
    </row>
    <row r="3" spans="2:52" ht="15" customHeight="1" x14ac:dyDescent="0.25">
      <c r="B3" s="84" t="s">
        <v>709</v>
      </c>
      <c r="C3" s="84"/>
      <c r="D3" s="84"/>
      <c r="E3" s="84"/>
      <c r="F3" s="84"/>
      <c r="G3" s="84"/>
      <c r="H3" s="84"/>
    </row>
    <row r="4" spans="2:52" ht="21.75" customHeight="1" x14ac:dyDescent="0.25">
      <c r="B4" s="38" t="s">
        <v>460</v>
      </c>
      <c r="C4" s="38" t="s">
        <v>710</v>
      </c>
      <c r="D4" s="38" t="s">
        <v>711</v>
      </c>
      <c r="E4" s="38" t="s">
        <v>712</v>
      </c>
      <c r="F4" s="38" t="s">
        <v>713</v>
      </c>
      <c r="G4" s="38" t="s">
        <v>714</v>
      </c>
      <c r="H4" s="38" t="s">
        <v>715</v>
      </c>
    </row>
    <row r="5" spans="2:52" ht="18" customHeight="1" x14ac:dyDescent="0.25">
      <c r="B5" s="58" t="s">
        <v>496</v>
      </c>
      <c r="C5" s="59">
        <f>IF($B5="","",COUNTIFS('5. Matriz IPERC'!D6:D50,$B5,'5. Matriz IPERC'!AE6:AE50,"Trivial"))</f>
        <v>0</v>
      </c>
      <c r="D5" s="59">
        <f>IF($B5="","",COUNTIFS('5. Matriz IPERC'!D6:D50,$B5,'5. Matriz IPERC'!AE6:AE50,"Tolerable"))</f>
        <v>1</v>
      </c>
      <c r="E5" s="59">
        <f>IF($B5="","",COUNTIFS('5. Matriz IPERC'!D6:D50,$B5,'5. Matriz IPERC'!AE6:AE50,"Moderado"))</f>
        <v>0</v>
      </c>
      <c r="F5" s="59">
        <f>IF($B5="","",COUNTIFS('5. Matriz IPERC'!D6:D50,$B5,'5. Matriz IPERC'!AE6:AE50,"Importante"))</f>
        <v>0</v>
      </c>
      <c r="G5" s="59">
        <f>IF($B5="","",COUNTIFS('5. Matriz IPERC'!D6:D50,$B5,'5. Matriz IPERC'!AE6:AE50,"Intolerable"))</f>
        <v>0</v>
      </c>
      <c r="H5" s="60">
        <f t="shared" ref="H5:H14" si="0">IF($B5="","",SUM(C5:G5))</f>
        <v>1</v>
      </c>
    </row>
    <row r="6" spans="2:52" ht="18" customHeight="1" x14ac:dyDescent="0.25">
      <c r="B6" s="61" t="s">
        <v>510</v>
      </c>
      <c r="C6" s="62">
        <f>IF($B6="","",COUNTIFS('5. Matriz IPERC'!D6:D50,$B6,'5. Matriz IPERC'!AE6:AE50,"Trivial"))</f>
        <v>0</v>
      </c>
      <c r="D6" s="62">
        <f>IF($B6="","",COUNTIFS('5. Matriz IPERC'!D6:D50,$B6,'5. Matriz IPERC'!AE6:AE50,"Tolerable"))</f>
        <v>1</v>
      </c>
      <c r="E6" s="62">
        <f>IF($B6="","",COUNTIFS('5. Matriz IPERC'!D6:D50,$B6,'5. Matriz IPERC'!AE6:AE50,"Moderado"))</f>
        <v>0</v>
      </c>
      <c r="F6" s="62">
        <f>IF($B6="","",COUNTIFS('5. Matriz IPERC'!D6:D50,$B6,'5. Matriz IPERC'!AE6:AE50,"Importante"))</f>
        <v>0</v>
      </c>
      <c r="G6" s="62">
        <f>IF($B6="","",COUNTIFS('5. Matriz IPERC'!D6:D50,$B6,'5. Matriz IPERC'!AE6:AE50,"Intolerable"))</f>
        <v>0</v>
      </c>
      <c r="H6" s="60">
        <f t="shared" si="0"/>
        <v>1</v>
      </c>
    </row>
    <row r="7" spans="2:52" ht="18" customHeight="1" x14ac:dyDescent="0.25">
      <c r="B7" s="58" t="s">
        <v>522</v>
      </c>
      <c r="C7" s="59">
        <f>IF($B7="","",COUNTIFS('5. Matriz IPERC'!D6:D50,$B7,'5. Matriz IPERC'!AE6:AE50,"Trivial"))</f>
        <v>0</v>
      </c>
      <c r="D7" s="59">
        <f>IF($B7="","",COUNTIFS('5. Matriz IPERC'!D6:D50,$B7,'5. Matriz IPERC'!AE6:AE50,"Tolerable"))</f>
        <v>1</v>
      </c>
      <c r="E7" s="59">
        <f>IF($B7="","",COUNTIFS('5. Matriz IPERC'!D6:D50,$B7,'5. Matriz IPERC'!AE6:AE50,"Moderado"))</f>
        <v>0</v>
      </c>
      <c r="F7" s="59">
        <f>IF($B7="","",COUNTIFS('5. Matriz IPERC'!D6:D50,$B7,'5. Matriz IPERC'!AE6:AE50,"Importante"))</f>
        <v>0</v>
      </c>
      <c r="G7" s="59">
        <f>IF($B7="","",COUNTIFS('5. Matriz IPERC'!D6:D50,$B7,'5. Matriz IPERC'!AE6:AE50,"Intolerable"))</f>
        <v>0</v>
      </c>
      <c r="H7" s="60">
        <f t="shared" si="0"/>
        <v>1</v>
      </c>
    </row>
    <row r="8" spans="2:52" ht="18" customHeight="1" x14ac:dyDescent="0.25">
      <c r="B8" s="61" t="s">
        <v>535</v>
      </c>
      <c r="C8" s="62">
        <f>IF($B8="","",COUNTIFS('5. Matriz IPERC'!D6:D50,$B8,'5. Matriz IPERC'!AE6:AE50,"Trivial"))</f>
        <v>0</v>
      </c>
      <c r="D8" s="62">
        <f>IF($B8="","",COUNTIFS('5. Matriz IPERC'!D6:D50,$B8,'5. Matriz IPERC'!AE6:AE50,"Tolerable"))</f>
        <v>0</v>
      </c>
      <c r="E8" s="62">
        <f>IF($B8="","",COUNTIFS('5. Matriz IPERC'!D6:D50,$B8,'5. Matriz IPERC'!AE6:AE50,"Moderado"))</f>
        <v>1</v>
      </c>
      <c r="F8" s="62">
        <f>IF($B8="","",COUNTIFS('5. Matriz IPERC'!D6:D50,$B8,'5. Matriz IPERC'!AE6:AE50,"Importante"))</f>
        <v>0</v>
      </c>
      <c r="G8" s="62">
        <f>IF($B8="","",COUNTIFS('5. Matriz IPERC'!D6:D50,$B8,'5. Matriz IPERC'!AE6:AE50,"Intolerable"))</f>
        <v>0</v>
      </c>
      <c r="H8" s="60">
        <f t="shared" si="0"/>
        <v>1</v>
      </c>
    </row>
    <row r="9" spans="2:52" ht="18" customHeight="1" x14ac:dyDescent="0.25">
      <c r="B9" s="58" t="s">
        <v>545</v>
      </c>
      <c r="C9" s="59">
        <f>IF($B9="","",COUNTIFS('5. Matriz IPERC'!D6:D50,$B9,'5. Matriz IPERC'!AE6:AE50,"Trivial"))</f>
        <v>0</v>
      </c>
      <c r="D9" s="59">
        <f>IF($B9="","",COUNTIFS('5. Matriz IPERC'!D6:D50,$B9,'5. Matriz IPERC'!AE6:AE50,"Tolerable"))</f>
        <v>0</v>
      </c>
      <c r="E9" s="59">
        <f>IF($B9="","",COUNTIFS('5. Matriz IPERC'!D6:D50,$B9,'5. Matriz IPERC'!AE6:AE50,"Moderado"))</f>
        <v>1</v>
      </c>
      <c r="F9" s="59">
        <f>IF($B9="","",COUNTIFS('5. Matriz IPERC'!D6:D50,$B9,'5. Matriz IPERC'!AE6:AE50,"Importante"))</f>
        <v>0</v>
      </c>
      <c r="G9" s="59">
        <f>IF($B9="","",COUNTIFS('5. Matriz IPERC'!D6:D50,$B9,'5. Matriz IPERC'!AE6:AE50,"Intolerable"))</f>
        <v>0</v>
      </c>
      <c r="H9" s="60">
        <f t="shared" si="0"/>
        <v>1</v>
      </c>
    </row>
    <row r="10" spans="2:52" ht="18" customHeight="1" x14ac:dyDescent="0.25">
      <c r="B10" s="61" t="s">
        <v>557</v>
      </c>
      <c r="C10" s="62">
        <f>IF($B10="","",COUNTIFS('5. Matriz IPERC'!D6:D50,$B10,'5. Matriz IPERC'!AE6:AE50,"Trivial"))</f>
        <v>0</v>
      </c>
      <c r="D10" s="62">
        <f>IF($B10="","",COUNTIFS('5. Matriz IPERC'!D6:D50,$B10,'5. Matriz IPERC'!AE6:AE50,"Tolerable"))</f>
        <v>0</v>
      </c>
      <c r="E10" s="62">
        <f>IF($B10="","",COUNTIFS('5. Matriz IPERC'!D6:D50,$B10,'5. Matriz IPERC'!AE6:AE50,"Moderado"))</f>
        <v>1</v>
      </c>
      <c r="F10" s="62">
        <f>IF($B10="","",COUNTIFS('5. Matriz IPERC'!D6:D50,$B10,'5. Matriz IPERC'!AE6:AE50,"Importante"))</f>
        <v>0</v>
      </c>
      <c r="G10" s="62">
        <f>IF($B10="","",COUNTIFS('5. Matriz IPERC'!D6:D50,$B10,'5. Matriz IPERC'!AE6:AE50,"Intolerable"))</f>
        <v>0</v>
      </c>
      <c r="H10" s="60">
        <f t="shared" si="0"/>
        <v>1</v>
      </c>
    </row>
    <row r="11" spans="2:52" ht="18" customHeight="1" x14ac:dyDescent="0.25">
      <c r="B11" s="58" t="s">
        <v>565</v>
      </c>
      <c r="C11" s="59">
        <f>IF($B11="","",COUNTIFS('5. Matriz IPERC'!D6:D50,$B11,'5. Matriz IPERC'!AE6:AE50,"Trivial"))</f>
        <v>0</v>
      </c>
      <c r="D11" s="59">
        <f>IF($B11="","",COUNTIFS('5. Matriz IPERC'!D6:D50,$B11,'5. Matriz IPERC'!AE6:AE50,"Tolerable"))</f>
        <v>0</v>
      </c>
      <c r="E11" s="59">
        <f>IF($B11="","",COUNTIFS('5. Matriz IPERC'!D6:D50,$B11,'5. Matriz IPERC'!AE6:AE50,"Moderado"))</f>
        <v>1</v>
      </c>
      <c r="F11" s="59">
        <f>IF($B11="","",COUNTIFS('5. Matriz IPERC'!D6:D50,$B11,'5. Matriz IPERC'!AE6:AE50,"Importante"))</f>
        <v>0</v>
      </c>
      <c r="G11" s="59">
        <f>IF($B11="","",COUNTIFS('5. Matriz IPERC'!D6:D50,$B11,'5. Matriz IPERC'!AE6:AE50,"Intolerable"))</f>
        <v>0</v>
      </c>
      <c r="H11" s="60">
        <f t="shared" si="0"/>
        <v>1</v>
      </c>
    </row>
    <row r="12" spans="2:52" ht="18" customHeight="1" x14ac:dyDescent="0.25">
      <c r="B12" s="61" t="s">
        <v>575</v>
      </c>
      <c r="C12" s="62">
        <f>IF($B12="","",COUNTIFS('5. Matriz IPERC'!D6:D50,$B12,'5. Matriz IPERC'!AE6:AE50,"Trivial"))</f>
        <v>0</v>
      </c>
      <c r="D12" s="62">
        <f>IF($B12="","",COUNTIFS('5. Matriz IPERC'!D6:D50,$B12,'5. Matriz IPERC'!AE6:AE50,"Tolerable"))</f>
        <v>0</v>
      </c>
      <c r="E12" s="62">
        <f>IF($B12="","",COUNTIFS('5. Matriz IPERC'!D6:D50,$B12,'5. Matriz IPERC'!AE6:AE50,"Moderado"))</f>
        <v>1</v>
      </c>
      <c r="F12" s="62">
        <f>IF($B12="","",COUNTIFS('5. Matriz IPERC'!D6:D50,$B12,'5. Matriz IPERC'!AE6:AE50,"Importante"))</f>
        <v>0</v>
      </c>
      <c r="G12" s="62">
        <f>IF($B12="","",COUNTIFS('5. Matriz IPERC'!D6:D50,$B12,'5. Matriz IPERC'!AE6:AE50,"Intolerable"))</f>
        <v>0</v>
      </c>
      <c r="H12" s="60">
        <f t="shared" si="0"/>
        <v>1</v>
      </c>
    </row>
    <row r="13" spans="2:52" ht="18" customHeight="1" x14ac:dyDescent="0.25">
      <c r="B13" s="58"/>
      <c r="C13" s="59" t="str">
        <f>IF($B13="","",COUNTIFS('5. Matriz IPERC'!D6:D50,$B13,'5. Matriz IPERC'!AE6:AE50,"Trivial"))</f>
        <v/>
      </c>
      <c r="D13" s="59" t="str">
        <f>IF($B13="","",COUNTIFS('5. Matriz IPERC'!D6:D50,$B13,'5. Matriz IPERC'!AE6:AE50,"Tolerable"))</f>
        <v/>
      </c>
      <c r="E13" s="59" t="str">
        <f>IF($B13="","",COUNTIFS('5. Matriz IPERC'!D6:D50,$B13,'5. Matriz IPERC'!AE6:AE50,"Moderado"))</f>
        <v/>
      </c>
      <c r="F13" s="59" t="str">
        <f>IF($B13="","",COUNTIFS('5. Matriz IPERC'!D6:D50,$B13,'5. Matriz IPERC'!AE6:AE50,"Importante"))</f>
        <v/>
      </c>
      <c r="G13" s="59" t="str">
        <f>IF($B13="","",COUNTIFS('5. Matriz IPERC'!D6:D50,$B13,'5. Matriz IPERC'!AE6:AE50,"Intolerable"))</f>
        <v/>
      </c>
      <c r="H13" s="60" t="str">
        <f t="shared" si="0"/>
        <v/>
      </c>
    </row>
    <row r="14" spans="2:52" ht="18" customHeight="1" x14ac:dyDescent="0.25">
      <c r="B14" s="61"/>
      <c r="C14" s="62" t="str">
        <f>IF($B14="","",COUNTIFS('5. Matriz IPERC'!D6:D50,$B14,'5. Matriz IPERC'!AE6:AE50,"Trivial"))</f>
        <v/>
      </c>
      <c r="D14" s="62" t="str">
        <f>IF($B14="","",COUNTIFS('5. Matriz IPERC'!D6:D50,$B14,'5. Matriz IPERC'!AE6:AE50,"Tolerable"))</f>
        <v/>
      </c>
      <c r="E14" s="62" t="str">
        <f>IF($B14="","",COUNTIFS('5. Matriz IPERC'!D6:D50,$B14,'5. Matriz IPERC'!AE6:AE50,"Moderado"))</f>
        <v/>
      </c>
      <c r="F14" s="62" t="str">
        <f>IF($B14="","",COUNTIFS('5. Matriz IPERC'!D6:D50,$B14,'5. Matriz IPERC'!AE6:AE50,"Importante"))</f>
        <v/>
      </c>
      <c r="G14" s="62" t="str">
        <f>IF($B14="","",COUNTIFS('5. Matriz IPERC'!D6:D50,$B14,'5. Matriz IPERC'!AE6:AE50,"Intolerable"))</f>
        <v/>
      </c>
      <c r="H14" s="60" t="str">
        <f t="shared" si="0"/>
        <v/>
      </c>
    </row>
    <row r="15" spans="2:52" ht="15" customHeight="1" x14ac:dyDescent="0.25">
      <c r="B15" s="63" t="s">
        <v>716</v>
      </c>
      <c r="C15" s="64">
        <f t="shared" ref="C15:H15" si="1">SUM(C5:C14)</f>
        <v>0</v>
      </c>
      <c r="D15" s="64">
        <f t="shared" si="1"/>
        <v>3</v>
      </c>
      <c r="E15" s="64">
        <f t="shared" si="1"/>
        <v>5</v>
      </c>
      <c r="F15" s="64">
        <f t="shared" si="1"/>
        <v>0</v>
      </c>
      <c r="G15" s="64">
        <f t="shared" si="1"/>
        <v>0</v>
      </c>
      <c r="H15" s="64">
        <f t="shared" si="1"/>
        <v>8</v>
      </c>
    </row>
  </sheetData>
  <mergeCells count="2">
    <mergeCell ref="B2:H2"/>
    <mergeCell ref="B3:H3"/>
  </mergeCells>
  <conditionalFormatting sqref="D5:D15">
    <cfRule type="cellIs" dxfId="3" priority="2" operator="greaterThan">
      <formula>0</formula>
    </cfRule>
  </conditionalFormatting>
  <conditionalFormatting sqref="E5:E15">
    <cfRule type="cellIs" dxfId="2" priority="3" operator="greaterThan">
      <formula>0</formula>
    </cfRule>
  </conditionalFormatting>
  <conditionalFormatting sqref="F5:F15">
    <cfRule type="cellIs" dxfId="1" priority="4" operator="greaterThan">
      <formula>0</formula>
    </cfRule>
  </conditionalFormatting>
  <pageMargins left="0.4" right="0.4" top="0.5" bottom="0.5" header="0.511811023622047" footer="0.51180555555555596"/>
  <pageSetup paperSize="9" fitToHeight="0" orientation="portrait" horizontalDpi="300" verticalDpi="300"/>
  <headerFooter>
    <oddFooter>&amp;L&amp;7 IPERC Normativo Perú&amp;C&amp;7 Pág. &amp;P de &amp;N&amp;R&amp;7 © Ing. Pierre R. - peru.labs.pe@gmail.com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AZ41"/>
  <sheetViews>
    <sheetView showGridLines="0" topLeftCell="A12" zoomScaleNormal="100" workbookViewId="0"/>
  </sheetViews>
  <sheetFormatPr baseColWidth="10" defaultColWidth="8.7109375" defaultRowHeight="15" x14ac:dyDescent="0.25"/>
  <cols>
    <col min="1" max="1" width="2" customWidth="1"/>
    <col min="2" max="2" width="34" customWidth="1"/>
    <col min="3" max="3" width="21.42578125" bestFit="1" customWidth="1"/>
    <col min="4" max="4" width="4" customWidth="1"/>
    <col min="5" max="5" width="34" customWidth="1"/>
    <col min="6" max="6" width="22.5703125" bestFit="1" customWidth="1"/>
  </cols>
  <sheetData>
    <row r="1" spans="2:52" ht="15" customHeight="1" x14ac:dyDescent="0.25">
      <c r="AZ1" s="18" t="s">
        <v>0</v>
      </c>
    </row>
    <row r="2" spans="2:52" ht="27.75" customHeight="1" x14ac:dyDescent="0.25">
      <c r="B2" s="3" t="s">
        <v>717</v>
      </c>
      <c r="C2" s="3"/>
      <c r="D2" s="3"/>
      <c r="E2" s="3"/>
      <c r="F2" s="3"/>
    </row>
    <row r="3" spans="2:52" ht="15" customHeight="1" x14ac:dyDescent="0.25">
      <c r="B3" s="42" t="s">
        <v>5</v>
      </c>
      <c r="C3" s="65" t="str">
        <f>Portada!D7</f>
        <v>AVANZADO</v>
      </c>
      <c r="E3" s="42" t="s">
        <v>456</v>
      </c>
      <c r="F3" s="65" t="str">
        <f>Portada!D8</f>
        <v>Oficina / Sector público</v>
      </c>
    </row>
    <row r="5" spans="2:52" ht="15" customHeight="1" x14ac:dyDescent="0.25">
      <c r="B5" s="72" t="s">
        <v>718</v>
      </c>
      <c r="C5" s="72"/>
      <c r="E5" s="72" t="s">
        <v>719</v>
      </c>
      <c r="F5" s="72"/>
    </row>
    <row r="6" spans="2:52" ht="21.75" customHeight="1" x14ac:dyDescent="0.25">
      <c r="B6" s="66" t="s">
        <v>720</v>
      </c>
      <c r="C6" s="67">
        <f>COUNT('5. Matriz IPERC'!U6:U50)</f>
        <v>8</v>
      </c>
      <c r="E6" s="66" t="s">
        <v>721</v>
      </c>
      <c r="F6" s="68">
        <f>COUNTIF('5. Matriz IPERC'!AJ6:AJ50,"Implementado")</f>
        <v>1</v>
      </c>
    </row>
    <row r="7" spans="2:52" ht="21.75" customHeight="1" x14ac:dyDescent="0.25">
      <c r="B7" s="66" t="s">
        <v>722</v>
      </c>
      <c r="C7" s="67">
        <f>COUNTIF('5. Matriz IPERC'!W6:W50,"SÍ")</f>
        <v>8</v>
      </c>
      <c r="E7" s="66" t="s">
        <v>723</v>
      </c>
      <c r="F7" s="68">
        <f>COUNTIF('5. Matriz IPERC'!AJ6:AJ50,"En proceso")</f>
        <v>4</v>
      </c>
    </row>
    <row r="8" spans="2:52" ht="21.75" customHeight="1" x14ac:dyDescent="0.25">
      <c r="B8" s="66" t="s">
        <v>724</v>
      </c>
      <c r="C8" s="67">
        <f>COUNTIF('5. Matriz IPERC'!V6:V50,"Importante")+COUNTIF('5. Matriz IPERC'!V6:V50,"Intolerable")</f>
        <v>8</v>
      </c>
      <c r="E8" s="66" t="s">
        <v>725</v>
      </c>
      <c r="F8" s="68">
        <f>COUNTA('5. Matriz IPERC'!AJ6:AJ50)</f>
        <v>8</v>
      </c>
    </row>
    <row r="9" spans="2:52" ht="21.75" customHeight="1" x14ac:dyDescent="0.25">
      <c r="B9" s="66" t="s">
        <v>726</v>
      </c>
      <c r="C9" s="67">
        <f>COUNTIF('5. Matriz IPERC'!AE6:AE50,"Importante")+COUNTIF('5. Matriz IPERC'!AE6:AE50,"Intolerable")</f>
        <v>0</v>
      </c>
      <c r="E9" s="66" t="s">
        <v>727</v>
      </c>
      <c r="F9" s="69">
        <f>IFERROR(COUNTIF('5. Matriz IPERC'!AJ6:AJ50,"Implementado")/COUNTA('5. Matriz IPERC'!AJ6:AJ50),0)</f>
        <v>0.125</v>
      </c>
    </row>
    <row r="10" spans="2:52" ht="21.75" customHeight="1" x14ac:dyDescent="0.25">
      <c r="B10" s="66" t="s">
        <v>728</v>
      </c>
      <c r="C10" s="67">
        <f>COUNTIF('5. Matriz IPERC'!AJ6:AJ50,"Vencido")</f>
        <v>0</v>
      </c>
      <c r="E10" s="66" t="s">
        <v>729</v>
      </c>
      <c r="F10" s="69">
        <f>IFERROR(1-((COUNTIF('5. Matriz IPERC'!AE6:AE50,"Importante")+COUNTIF('5. Matriz IPERC'!AE6:AE50,"Intolerable"))/(COUNTIF('5. Matriz IPERC'!V6:V50,"Importante")+COUNTIF('5. Matriz IPERC'!V6:V50,"Intolerable"))),0)</f>
        <v>1</v>
      </c>
    </row>
    <row r="11" spans="2:52" ht="21.75" customHeight="1" x14ac:dyDescent="0.25">
      <c r="B11" s="66" t="s">
        <v>730</v>
      </c>
      <c r="C11" s="67">
        <f>COUNTIF('5. Matriz IPERC'!AJ6:AJ50,"Pendiente")</f>
        <v>3</v>
      </c>
    </row>
    <row r="13" spans="2:52" ht="15" customHeight="1" x14ac:dyDescent="0.25">
      <c r="B13" s="72" t="s">
        <v>731</v>
      </c>
      <c r="C13" s="72"/>
      <c r="D13" s="72"/>
      <c r="E13" s="72"/>
      <c r="F13" s="72"/>
    </row>
    <row r="14" spans="2:52" ht="15" customHeight="1" x14ac:dyDescent="0.25">
      <c r="B14" s="70" t="s">
        <v>732</v>
      </c>
      <c r="C14" s="85" t="s">
        <v>70</v>
      </c>
      <c r="D14" s="85"/>
      <c r="E14" s="85" t="s">
        <v>733</v>
      </c>
      <c r="F14" s="85"/>
    </row>
    <row r="15" spans="2:52" ht="19.5" customHeight="1" x14ac:dyDescent="0.25">
      <c r="B15" s="31" t="s">
        <v>710</v>
      </c>
      <c r="C15" s="86">
        <f>COUNTIF('5. Matriz IPERC'!V6:V50,"Trivial")</f>
        <v>0</v>
      </c>
      <c r="D15" s="86"/>
      <c r="E15" s="86">
        <f>COUNTIF('5. Matriz IPERC'!AE6:AE50,"Trivial")</f>
        <v>0</v>
      </c>
      <c r="F15" s="86"/>
    </row>
    <row r="16" spans="2:52" ht="19.5" customHeight="1" x14ac:dyDescent="0.25">
      <c r="B16" s="31" t="s">
        <v>711</v>
      </c>
      <c r="C16" s="86">
        <f>COUNTIF('5. Matriz IPERC'!V6:V50,"Tolerable")</f>
        <v>0</v>
      </c>
      <c r="D16" s="86"/>
      <c r="E16" s="86">
        <f>COUNTIF('5. Matriz IPERC'!AE6:AE50,"Tolerable")</f>
        <v>3</v>
      </c>
      <c r="F16" s="86"/>
    </row>
    <row r="17" spans="2:6" ht="19.5" customHeight="1" x14ac:dyDescent="0.25">
      <c r="B17" s="33" t="s">
        <v>712</v>
      </c>
      <c r="C17" s="86">
        <f>COUNTIF('5. Matriz IPERC'!V6:V50,"Moderado")</f>
        <v>0</v>
      </c>
      <c r="D17" s="86"/>
      <c r="E17" s="86">
        <f>COUNTIF('5. Matriz IPERC'!AE6:AE50,"Moderado")</f>
        <v>5</v>
      </c>
      <c r="F17" s="86"/>
    </row>
    <row r="18" spans="2:6" ht="19.5" customHeight="1" x14ac:dyDescent="0.25">
      <c r="B18" s="35" t="s">
        <v>713</v>
      </c>
      <c r="C18" s="86">
        <f>COUNTIF('5. Matriz IPERC'!V6:V50,"Importante")</f>
        <v>5</v>
      </c>
      <c r="D18" s="86"/>
      <c r="E18" s="86">
        <f>COUNTIF('5. Matriz IPERC'!AE6:AE50,"Importante")</f>
        <v>0</v>
      </c>
      <c r="F18" s="86"/>
    </row>
    <row r="19" spans="2:6" ht="19.5" customHeight="1" x14ac:dyDescent="0.25">
      <c r="B19" s="37" t="s">
        <v>714</v>
      </c>
      <c r="C19" s="86">
        <f>COUNTIF('5. Matriz IPERC'!V6:V50,"Intolerable")</f>
        <v>3</v>
      </c>
      <c r="D19" s="86"/>
      <c r="E19" s="86">
        <f>COUNTIF('5. Matriz IPERC'!AE6:AE50,"Intolerable")</f>
        <v>0</v>
      </c>
      <c r="F19" s="86"/>
    </row>
    <row r="36" spans="2:6" ht="15" customHeight="1" x14ac:dyDescent="0.25">
      <c r="B36" s="87" t="s">
        <v>734</v>
      </c>
      <c r="C36" s="87"/>
      <c r="D36" s="87"/>
      <c r="E36" s="87"/>
      <c r="F36" s="87"/>
    </row>
    <row r="37" spans="2:6" ht="19.5" customHeight="1" x14ac:dyDescent="0.25">
      <c r="B37" s="88" t="s">
        <v>735</v>
      </c>
      <c r="C37" s="88"/>
      <c r="D37" s="88"/>
      <c r="E37" s="88"/>
      <c r="F37" s="71">
        <f>COUNTIF('5. Matriz IPERC'!AE6:AE50,"Intolerable")</f>
        <v>0</v>
      </c>
    </row>
    <row r="38" spans="2:6" ht="19.5" customHeight="1" x14ac:dyDescent="0.25">
      <c r="B38" s="88" t="s">
        <v>728</v>
      </c>
      <c r="C38" s="88"/>
      <c r="D38" s="88"/>
      <c r="E38" s="88"/>
      <c r="F38" s="71">
        <f>COUNTIF('5. Matriz IPERC'!AJ6:AJ50,"Vencido")</f>
        <v>0</v>
      </c>
    </row>
    <row r="39" spans="2:6" ht="19.5" customHeight="1" x14ac:dyDescent="0.25">
      <c r="B39" s="88" t="s">
        <v>736</v>
      </c>
      <c r="C39" s="88"/>
      <c r="D39" s="88"/>
      <c r="E39" s="88"/>
      <c r="F39" s="71">
        <f>SUMPRODUCT(('5. Matriz IPERC'!W6:W50="SÍ")*('5. Matriz IPERC'!Y6:Y50=""))</f>
        <v>0</v>
      </c>
    </row>
    <row r="41" spans="2:6" ht="15" customHeight="1" x14ac:dyDescent="0.25">
      <c r="B41" s="89" t="s">
        <v>737</v>
      </c>
      <c r="C41" s="89"/>
      <c r="D41" s="89"/>
      <c r="E41" s="89"/>
      <c r="F41" s="89"/>
    </row>
  </sheetData>
  <mergeCells count="21">
    <mergeCell ref="B37:E37"/>
    <mergeCell ref="B38:E38"/>
    <mergeCell ref="B39:E39"/>
    <mergeCell ref="B41:F41"/>
    <mergeCell ref="C18:D18"/>
    <mergeCell ref="E18:F18"/>
    <mergeCell ref="C19:D19"/>
    <mergeCell ref="E19:F19"/>
    <mergeCell ref="B36:F36"/>
    <mergeCell ref="C15:D15"/>
    <mergeCell ref="E15:F15"/>
    <mergeCell ref="C16:D16"/>
    <mergeCell ref="E16:F16"/>
    <mergeCell ref="C17:D17"/>
    <mergeCell ref="E17:F17"/>
    <mergeCell ref="B2:F2"/>
    <mergeCell ref="B5:C5"/>
    <mergeCell ref="E5:F5"/>
    <mergeCell ref="B13:F13"/>
    <mergeCell ref="C14:D14"/>
    <mergeCell ref="E14:F14"/>
  </mergeCells>
  <conditionalFormatting sqref="F37:F39">
    <cfRule type="cellIs" dxfId="0" priority="2" operator="greaterThan">
      <formula>0</formula>
    </cfRule>
  </conditionalFormatting>
  <pageMargins left="0.4" right="0.4" top="0.5" bottom="0.5" header="0.511811023622047" footer="0.51180555555555596"/>
  <pageSetup paperSize="9" fitToHeight="0" orientation="portrait" horizontalDpi="300" verticalDpi="300"/>
  <headerFooter>
    <oddFooter>&amp;L&amp;7 IPERC Normativo Perú&amp;C&amp;7 Pág. &amp;P de &amp;N&amp;R&amp;7 © Ing. Pierre R. - peru.labs.pe@gmail.com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10</vt:i4>
      </vt:variant>
    </vt:vector>
  </HeadingPairs>
  <TitlesOfParts>
    <vt:vector size="20" baseType="lpstr">
      <vt:lpstr>Portada</vt:lpstr>
      <vt:lpstr>1. Niveles</vt:lpstr>
      <vt:lpstr>2. Datos Generales</vt:lpstr>
      <vt:lpstr>3. Metodología</vt:lpstr>
      <vt:lpstr>4. Catálogo Peligros</vt:lpstr>
      <vt:lpstr>5. Matriz IPERC</vt:lpstr>
      <vt:lpstr>6. Motor Normativo</vt:lpstr>
      <vt:lpstr>7. Plan de Acción</vt:lpstr>
      <vt:lpstr>8. Mapa de Riesgos</vt:lpstr>
      <vt:lpstr>9. Dashboard</vt:lpstr>
      <vt:lpstr>'1. Niveles'!Área_de_impresión</vt:lpstr>
      <vt:lpstr>'2. Datos Generales'!Área_de_impresión</vt:lpstr>
      <vt:lpstr>'3. Metodología'!Área_de_impresión</vt:lpstr>
      <vt:lpstr>'4. Catálogo Peligros'!Área_de_impresión</vt:lpstr>
      <vt:lpstr>'5. Matriz IPERC'!Área_de_impresión</vt:lpstr>
      <vt:lpstr>'6. Motor Normativo'!Área_de_impresión</vt:lpstr>
      <vt:lpstr>'7. Plan de Acción'!Área_de_impresión</vt:lpstr>
      <vt:lpstr>'8. Mapa de Riesgos'!Área_de_impresión</vt:lpstr>
      <vt:lpstr>'9. Dashboard'!Área_de_impresión</vt:lpstr>
      <vt:lpstr>Portada!Área_de_impresión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Generador IPERC Normativo - Perú</dc:title>
  <dc:subject>Matriz IPERC - SST - Ley 29783</dc:subject>
  <dc:creator>Ing. Pierre R. (peru.labs.pe@gmail.com)</dc:creator>
  <cp:keywords>IPERC SST Ley 29783 Pierre R. peru.labs.pe@gmail.com copyright</cp:keywords>
  <dc:description>© 2026 Ing. Pierre R. - peru.labs.pe@gmail.com - Generador IPERC Normativo Perú. Uso bajo licencia del autor.</dc:description>
  <cp:lastModifiedBy>pierre R</cp:lastModifiedBy>
  <cp:revision>2</cp:revision>
  <dcterms:created xsi:type="dcterms:W3CDTF">2026-06-29T13:47:21Z</dcterms:created>
  <dcterms:modified xsi:type="dcterms:W3CDTF">2026-06-29T16:43:21Z</dcterms:modified>
  <cp:category>Seguridad y Salud en el Trabajo</cp:category>
  <dc:language>en-US</dc:language>
</cp:coreProperties>
</file>